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<sst xmlns="http://schemas.openxmlformats.org/spreadsheetml/2006/main" count="2500" uniqueCount="1063">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</sst>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>
        <v>3</v>
      </c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40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100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11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53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24</v>
      </c>
      <c r="G19" s="4" t="s">
        <v>72</v>
      </c>
      <c r="H19" s="4"/>
      <c r="I19" s="4"/>
      <c r="J19" s="4">
        <v>4.76</v>
      </c>
      <c r="K19" s="4"/>
      <c r="L19" s="4"/>
      <c r="M19" s="4" t="s">
        <v>18</v>
      </c>
      <c r="N19" s="4">
        <v>97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18</v>
      </c>
      <c r="G20" s="4" t="s">
        <v>74</v>
      </c>
      <c r="H20" s="4"/>
      <c r="I20" s="4"/>
      <c r="J20" s="4">
        <v>4.76</v>
      </c>
      <c r="K20" s="4">
        <v>5</v>
      </c>
      <c r="L20" s="4"/>
      <c r="M20" s="4" t="s">
        <v>18</v>
      </c>
      <c r="N20" s="4">
        <v>50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50</v>
      </c>
      <c r="G21" s="4" t="s">
        <v>76</v>
      </c>
      <c r="H21" s="4"/>
      <c r="I21" s="4"/>
      <c r="J21" s="4">
        <v>4.76</v>
      </c>
      <c r="K21" s="4">
        <v>2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20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123</v>
      </c>
      <c r="G23" s="4" t="s">
        <v>80</v>
      </c>
      <c r="H23" s="4"/>
      <c r="I23" s="4"/>
      <c r="J23" s="4">
        <v>4.76</v>
      </c>
      <c r="K23" s="4"/>
      <c r="L23" s="4"/>
      <c r="M23" s="4" t="s">
        <v>18</v>
      </c>
      <c r="N23" s="4">
        <v>305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100</v>
      </c>
      <c r="G24" s="4" t="s">
        <v>82</v>
      </c>
      <c r="H24" s="4"/>
      <c r="I24" s="4"/>
      <c r="J24" s="4">
        <v>4.76</v>
      </c>
      <c r="K24" s="4"/>
      <c r="L24" s="4"/>
      <c r="M24" s="4" t="s">
        <v>18</v>
      </c>
      <c r="N24" s="4">
        <v>27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22</v>
      </c>
      <c r="G25" s="4" t="s">
        <v>84</v>
      </c>
      <c r="H25" s="4"/>
      <c r="I25" s="4"/>
      <c r="J25" s="4">
        <v>4.76</v>
      </c>
      <c r="K25" s="4">
        <v>5</v>
      </c>
      <c r="L25" s="4"/>
      <c r="M25" s="4" t="s">
        <v>18</v>
      </c>
      <c r="N25" s="4">
        <v>59</v>
      </c>
      <c r="O25" s="3">
        <f>=B25*(N25*F25/10000)*J25</f>
      </c>
    </row>
    <row r="26" spans="1:15" x14ac:dyDescent="0.25">
      <c r="A26" s="2" t="s">
        <v>85</v>
      </c>
      <c r="B26" s="4">
        <v>3</v>
      </c>
      <c r="C26" s="4" t="s">
        <v>27</v>
      </c>
      <c r="D26" s="4"/>
      <c r="E26" s="4"/>
      <c r="F26" s="4">
        <v>17.5</v>
      </c>
      <c r="G26" s="4" t="s">
        <v>86</v>
      </c>
      <c r="H26" s="4"/>
      <c r="I26" s="4"/>
      <c r="J26" s="4">
        <v>4.76</v>
      </c>
      <c r="K26" s="4">
        <v>5</v>
      </c>
      <c r="L26" s="4"/>
      <c r="M26" s="4" t="s">
        <v>18</v>
      </c>
      <c r="N26" s="4">
        <v>60</v>
      </c>
      <c r="O26" s="3">
        <f>=B26*(N26*F26/10000)*J26</f>
      </c>
    </row>
    <row r="27" spans="1:15" x14ac:dyDescent="0.25">
      <c r="A27" s="2" t="s">
        <v>87</v>
      </c>
      <c r="B27" s="4">
        <v>2</v>
      </c>
      <c r="C27" s="4" t="s">
        <v>27</v>
      </c>
      <c r="D27" s="4"/>
      <c r="E27" s="4"/>
      <c r="F27" s="4">
        <v>38</v>
      </c>
      <c r="G27" s="4" t="s">
        <v>88</v>
      </c>
      <c r="H27" s="4"/>
      <c r="I27" s="4"/>
      <c r="J27" s="4">
        <v>4.76</v>
      </c>
      <c r="K27" s="4">
        <v>8</v>
      </c>
      <c r="L27" s="4"/>
      <c r="M27" s="4" t="s">
        <v>18</v>
      </c>
      <c r="N27" s="4">
        <v>60</v>
      </c>
      <c r="O27" s="3">
        <f>=B27*(N27*F27/10000)*J27</f>
      </c>
    </row>
    <row r="28" spans="1:15" x14ac:dyDescent="0.25">
      <c r="A28" s="2" t="s">
        <v>89</v>
      </c>
      <c r="B28" s="4">
        <v>2</v>
      </c>
      <c r="C28" s="4" t="s">
        <v>27</v>
      </c>
      <c r="D28" s="4"/>
      <c r="E28" s="4"/>
      <c r="F28" s="4">
        <v>60</v>
      </c>
      <c r="G28" s="4" t="s">
        <v>90</v>
      </c>
      <c r="H28" s="4"/>
      <c r="I28" s="4"/>
      <c r="J28" s="4">
        <v>4.76</v>
      </c>
      <c r="K28" s="4">
        <v>2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1</v>
      </c>
      <c r="C29" s="4" t="s">
        <v>27</v>
      </c>
      <c r="D29" s="4"/>
      <c r="E29" s="4"/>
      <c r="F29" s="4">
        <v>108.5</v>
      </c>
      <c r="G29" s="4" t="s">
        <v>92</v>
      </c>
      <c r="H29" s="4"/>
      <c r="I29" s="4"/>
      <c r="J29" s="4">
        <v>4.76</v>
      </c>
      <c r="K29" s="4"/>
      <c r="L29" s="4"/>
      <c r="M29" s="4" t="s">
        <v>18</v>
      </c>
      <c r="N29" s="4">
        <v>22.5</v>
      </c>
      <c r="O29" s="3">
        <f>=B29*(N29*F29/10000)*J29</f>
      </c>
    </row>
    <row r="30" spans="1:15" x14ac:dyDescent="0.25">
      <c r="A30" s="2" t="s">
        <v>93</v>
      </c>
      <c r="B30" s="4">
        <v>1</v>
      </c>
      <c r="C30" s="4" t="s">
        <v>27</v>
      </c>
      <c r="D30" s="4"/>
      <c r="E30" s="4"/>
      <c r="F30" s="4">
        <v>51</v>
      </c>
      <c r="G30" s="4" t="s">
        <v>94</v>
      </c>
      <c r="H30" s="4"/>
      <c r="I30" s="4"/>
      <c r="J30" s="4">
        <v>4.76</v>
      </c>
      <c r="K30" s="4"/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37</v>
      </c>
      <c r="G31" s="4" t="s">
        <v>96</v>
      </c>
      <c r="H31" s="4"/>
      <c r="I31" s="4"/>
      <c r="J31" s="4">
        <v>4.76</v>
      </c>
      <c r="K31" s="4">
        <v>5</v>
      </c>
      <c r="L31" s="4"/>
      <c r="M31" s="4" t="s">
        <v>18</v>
      </c>
      <c r="N31" s="4">
        <v>48.5</v>
      </c>
      <c r="O31" s="3">
        <f>=B31*(N31*F31/10000)*J31</f>
      </c>
    </row>
    <row r="32" spans="1:15" x14ac:dyDescent="0.25">
      <c r="A32" s="2" t="s">
        <v>97</v>
      </c>
      <c r="B32" s="4">
        <v>2</v>
      </c>
      <c r="C32" s="4" t="s">
        <v>27</v>
      </c>
      <c r="D32" s="4"/>
      <c r="E32" s="4"/>
      <c r="F32" s="4">
        <v>35</v>
      </c>
      <c r="G32" s="4" t="s">
        <v>98</v>
      </c>
      <c r="H32" s="4"/>
      <c r="I32" s="4"/>
      <c r="J32" s="4">
        <v>4.76</v>
      </c>
      <c r="K32" s="4">
        <v>3</v>
      </c>
      <c r="L32" s="4"/>
      <c r="M32" s="4" t="s">
        <v>18</v>
      </c>
      <c r="N32" s="4">
        <v>72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24</v>
      </c>
      <c r="G33" s="4" t="s">
        <v>100</v>
      </c>
      <c r="H33" s="4"/>
      <c r="I33" s="4"/>
      <c r="J33" s="4">
        <v>4.76</v>
      </c>
      <c r="K33" s="4">
        <v>3</v>
      </c>
      <c r="L33" s="4"/>
      <c r="M33" s="4" t="s">
        <v>18</v>
      </c>
      <c r="N33" s="4">
        <v>64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/>
      <c r="D34" s="4">
        <v>0</v>
      </c>
      <c r="E34" s="4" t="s">
        <v>102</v>
      </c>
      <c r="F34" s="4">
        <v>0</v>
      </c>
      <c r="G34" s="4" t="s">
        <v>103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 t="s">
        <v>18</v>
      </c>
      <c r="N34" s="4">
        <v>0</v>
      </c>
      <c r="O34" s="3">
        <f>=0</f>
      </c>
    </row>
    <row r="35" spans="1:15" x14ac:dyDescent="0.25">
      <c r="A35" s="2" t="s">
        <v>104</v>
      </c>
      <c r="B35" s="4">
        <v>1</v>
      </c>
      <c r="C35" s="4"/>
      <c r="D35" s="4">
        <v>0</v>
      </c>
      <c r="E35" s="4" t="s">
        <v>102</v>
      </c>
      <c r="F35" s="4">
        <v>0</v>
      </c>
      <c r="G35" s="4" t="s">
        <v>105</v>
      </c>
      <c r="H35" s="4">
        <v>0</v>
      </c>
      <c r="I35" s="4">
        <v>0</v>
      </c>
      <c r="J35" s="4">
        <v>0</v>
      </c>
      <c r="K35" s="4">
        <v>5</v>
      </c>
      <c r="L35" s="4">
        <v>0</v>
      </c>
      <c r="M35" s="4" t="s">
        <v>18</v>
      </c>
      <c r="N35" s="4">
        <v>0</v>
      </c>
      <c r="O35" s="3">
        <f>=0</f>
      </c>
    </row>
    <row r="36" spans="1:15" x14ac:dyDescent="0.25">
      <c r="A36" s="2" t="s">
        <v>106</v>
      </c>
      <c r="B36" s="4">
        <v>1</v>
      </c>
      <c r="C36" s="4"/>
      <c r="D36" s="4">
        <v>0</v>
      </c>
      <c r="E36" s="4" t="s">
        <v>102</v>
      </c>
      <c r="F36" s="4">
        <v>0</v>
      </c>
      <c r="G36" s="4" t="s">
        <v>107</v>
      </c>
      <c r="H36" s="4">
        <v>0</v>
      </c>
      <c r="I36" s="4">
        <v>0</v>
      </c>
      <c r="J36" s="4">
        <v>0</v>
      </c>
      <c r="K36" s="4">
        <v>3</v>
      </c>
      <c r="L36" s="4">
        <v>0</v>
      </c>
      <c r="M36" s="4" t="s">
        <v>102</v>
      </c>
      <c r="N36" s="4">
        <v>0</v>
      </c>
      <c r="O36" s="3">
        <f>=0</f>
      </c>
    </row>
    <row r="37" spans="1:15" x14ac:dyDescent="0.25">
      <c r="A37" s="2" t="s">
        <v>108</v>
      </c>
      <c r="B37" s="4">
        <v>1</v>
      </c>
      <c r="C37" s="4"/>
      <c r="D37" s="4">
        <v>0</v>
      </c>
      <c r="E37" s="4" t="s">
        <v>102</v>
      </c>
      <c r="F37" s="4">
        <v>0</v>
      </c>
      <c r="G37" s="4" t="s">
        <v>109</v>
      </c>
      <c r="H37" s="4">
        <v>0</v>
      </c>
      <c r="I37" s="4">
        <v>0</v>
      </c>
      <c r="J37" s="4">
        <v>0</v>
      </c>
      <c r="K37" s="4">
        <v>3</v>
      </c>
      <c r="L37" s="4">
        <v>0</v>
      </c>
      <c r="M37" s="4" t="s">
        <v>102</v>
      </c>
      <c r="N37" s="4">
        <v>0</v>
      </c>
      <c r="O37" s="3">
        <f>=0</f>
      </c>
    </row>
    <row r="38" spans="1:15" x14ac:dyDescent="0.25">
      <c r="A38" s="2" t="s">
        <v>110</v>
      </c>
      <c r="B38" s="4">
        <v>1</v>
      </c>
      <c r="C38" s="4"/>
      <c r="D38" s="4">
        <v>0</v>
      </c>
      <c r="E38" s="4" t="s">
        <v>102</v>
      </c>
      <c r="F38" s="4">
        <v>0</v>
      </c>
      <c r="G38" s="4" t="s">
        <v>111</v>
      </c>
      <c r="H38" s="4">
        <v>0</v>
      </c>
      <c r="I38" s="4">
        <v>0</v>
      </c>
      <c r="J38" s="4">
        <v>0</v>
      </c>
      <c r="K38" s="4">
        <v>3</v>
      </c>
      <c r="L38" s="4">
        <v>0</v>
      </c>
      <c r="M38" s="4" t="s">
        <v>102</v>
      </c>
      <c r="N38" s="4">
        <v>0</v>
      </c>
      <c r="O38" s="3">
        <f>=0</f>
      </c>
    </row>
    <row r="39" spans="1:15" x14ac:dyDescent="0.25">
      <c r="A39" s="2" t="s">
        <v>112</v>
      </c>
      <c r="B39" s="4">
        <v>1</v>
      </c>
      <c r="C39" s="4"/>
      <c r="D39" s="4">
        <v>0</v>
      </c>
      <c r="E39" s="4" t="s">
        <v>102</v>
      </c>
      <c r="F39" s="4">
        <v>0</v>
      </c>
      <c r="G39" s="4" t="s">
        <v>113</v>
      </c>
      <c r="H39" s="4">
        <v>0</v>
      </c>
      <c r="I39" s="4">
        <v>0</v>
      </c>
      <c r="J39" s="4">
        <v>0</v>
      </c>
      <c r="K39" s="4">
        <v>3</v>
      </c>
      <c r="L39" s="4">
        <v>0</v>
      </c>
      <c r="M39" s="4" t="s">
        <v>102</v>
      </c>
      <c r="N39" s="4">
        <v>0</v>
      </c>
      <c r="O39" s="3">
        <f>=0</f>
      </c>
    </row>
    <row r="40" spans="1:15" x14ac:dyDescent="0.25">
      <c r="A40" s="2" t="s">
        <v>114</v>
      </c>
      <c r="B40" s="4">
        <v>1</v>
      </c>
      <c r="C40" s="4"/>
      <c r="D40" s="4">
        <v>0</v>
      </c>
      <c r="E40" s="4" t="s">
        <v>102</v>
      </c>
      <c r="F40" s="4">
        <v>0</v>
      </c>
      <c r="G40" s="4" t="s">
        <v>115</v>
      </c>
      <c r="H40" s="4">
        <v>0</v>
      </c>
      <c r="I40" s="4">
        <v>0</v>
      </c>
      <c r="J40" s="4">
        <v>0</v>
      </c>
      <c r="K40" s="4">
        <v>3</v>
      </c>
      <c r="L40" s="4">
        <v>0</v>
      </c>
      <c r="M40" s="4" t="s">
        <v>102</v>
      </c>
      <c r="N40" s="4">
        <v>0</v>
      </c>
      <c r="O40" s="3">
        <f>=0</f>
      </c>
    </row>
    <row r="41" spans="1:15" x14ac:dyDescent="0.25">
      <c r="A41" s="2" t="s">
        <v>116</v>
      </c>
      <c r="B41" s="4">
        <v>1</v>
      </c>
      <c r="C41" s="4"/>
      <c r="D41" s="4">
        <v>0</v>
      </c>
      <c r="E41" s="4" t="s">
        <v>102</v>
      </c>
      <c r="F41" s="4">
        <v>0</v>
      </c>
      <c r="G41" s="4" t="s">
        <v>117</v>
      </c>
      <c r="H41" s="4">
        <v>0</v>
      </c>
      <c r="I41" s="4">
        <v>0</v>
      </c>
      <c r="J41" s="4">
        <v>0</v>
      </c>
      <c r="K41" s="4">
        <v>3</v>
      </c>
      <c r="L41" s="4">
        <v>0</v>
      </c>
      <c r="M41" s="4" t="s">
        <v>18</v>
      </c>
      <c r="N41" s="4">
        <v>0</v>
      </c>
      <c r="O41" s="3">
        <f>=0</f>
      </c>
    </row>
    <row r="42" spans="1:15" x14ac:dyDescent="0.25">
      <c r="A42" s="2" t="s">
        <v>118</v>
      </c>
      <c r="B42" s="4">
        <v>1</v>
      </c>
      <c r="C42" s="4"/>
      <c r="D42" s="4">
        <v>0</v>
      </c>
      <c r="E42" s="4" t="s">
        <v>102</v>
      </c>
      <c r="F42" s="4">
        <v>0</v>
      </c>
      <c r="G42" s="4" t="s">
        <v>119</v>
      </c>
      <c r="H42" s="4">
        <v>0</v>
      </c>
      <c r="I42" s="4">
        <v>0</v>
      </c>
      <c r="J42" s="4">
        <v>0</v>
      </c>
      <c r="K42" s="4">
        <v>3</v>
      </c>
      <c r="L42" s="4">
        <v>0</v>
      </c>
      <c r="M42" s="4" t="s">
        <v>18</v>
      </c>
      <c r="N42" s="4">
        <v>0</v>
      </c>
      <c r="O42" s="3">
        <f>=0</f>
      </c>
    </row>
    <row r="43" spans="1:15" x14ac:dyDescent="0.25">
      <c r="A43" s="2" t="s">
        <v>120</v>
      </c>
      <c r="B43" s="4">
        <v>1</v>
      </c>
      <c r="C43" s="4"/>
      <c r="D43" s="4">
        <v>0</v>
      </c>
      <c r="E43" s="4" t="s">
        <v>102</v>
      </c>
      <c r="F43" s="4">
        <v>0</v>
      </c>
      <c r="G43" s="4" t="s">
        <v>121</v>
      </c>
      <c r="H43" s="4">
        <v>0</v>
      </c>
      <c r="I43" s="4">
        <v>0</v>
      </c>
      <c r="J43" s="4">
        <v>0</v>
      </c>
      <c r="K43" s="4">
        <v>3</v>
      </c>
      <c r="L43" s="4">
        <v>0</v>
      </c>
      <c r="M43" s="4" t="s">
        <v>18</v>
      </c>
      <c r="N43" s="4">
        <v>0</v>
      </c>
      <c r="O43" s="3">
        <f>=0</f>
      </c>
    </row>
    <row r="44" spans="1:15" x14ac:dyDescent="0.25">
      <c r="A44" s="2" t="s">
        <v>122</v>
      </c>
      <c r="B44" s="4">
        <v>1</v>
      </c>
      <c r="C44" s="4"/>
      <c r="D44" s="4">
        <v>0</v>
      </c>
      <c r="E44" s="4" t="s">
        <v>102</v>
      </c>
      <c r="F44" s="4">
        <v>0</v>
      </c>
      <c r="G44" s="4" t="s">
        <v>123</v>
      </c>
      <c r="H44" s="4">
        <v>0</v>
      </c>
      <c r="I44" s="4">
        <v>0</v>
      </c>
      <c r="J44" s="4">
        <v>0</v>
      </c>
      <c r="K44" s="4">
        <v>3</v>
      </c>
      <c r="L44" s="4">
        <v>0</v>
      </c>
      <c r="M44" s="4" t="s">
        <v>102</v>
      </c>
      <c r="N44" s="4">
        <v>0</v>
      </c>
      <c r="O44" s="3">
        <f>=0</f>
      </c>
    </row>
    <row r="45" spans="1:15" x14ac:dyDescent="0.25">
      <c r="A45" s="2" t="s">
        <v>124</v>
      </c>
      <c r="B45" s="4">
        <v>1</v>
      </c>
      <c r="C45" s="4"/>
      <c r="D45" s="4">
        <v>0</v>
      </c>
      <c r="E45" s="4" t="s">
        <v>102</v>
      </c>
      <c r="F45" s="4">
        <v>0</v>
      </c>
      <c r="G45" s="4" t="s">
        <v>125</v>
      </c>
      <c r="H45" s="4">
        <v>0</v>
      </c>
      <c r="I45" s="4">
        <v>0</v>
      </c>
      <c r="J45" s="4">
        <v>0</v>
      </c>
      <c r="K45" s="4">
        <v>3</v>
      </c>
      <c r="L45" s="4">
        <v>0</v>
      </c>
      <c r="M45" s="4" t="s">
        <v>18</v>
      </c>
      <c r="N45" s="4">
        <v>0</v>
      </c>
      <c r="O45" s="3">
        <f>=0</f>
      </c>
    </row>
    <row r="46" spans="1:15" x14ac:dyDescent="0.25">
      <c r="A46" s="2" t="s">
        <v>126</v>
      </c>
      <c r="B46" s="4">
        <v>1</v>
      </c>
      <c r="C46" s="4"/>
      <c r="D46" s="4">
        <v>0</v>
      </c>
      <c r="E46" s="4" t="s">
        <v>102</v>
      </c>
      <c r="F46" s="4">
        <v>0</v>
      </c>
      <c r="G46" s="4" t="s">
        <v>127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 t="s">
        <v>18</v>
      </c>
      <c r="N46" s="4">
        <v>0</v>
      </c>
      <c r="O46" s="3">
        <f>=0</f>
      </c>
    </row>
    <row r="47" spans="1:15" x14ac:dyDescent="0.25">
      <c r="A47" s="2" t="s">
        <v>128</v>
      </c>
      <c r="B47" s="4">
        <v>1</v>
      </c>
      <c r="C47" s="4"/>
      <c r="D47" s="4">
        <v>0</v>
      </c>
      <c r="E47" s="4" t="s">
        <v>102</v>
      </c>
      <c r="F47" s="4">
        <v>0</v>
      </c>
      <c r="G47" s="4" t="s">
        <v>129</v>
      </c>
      <c r="H47" s="4">
        <v>0</v>
      </c>
      <c r="I47" s="4">
        <v>0</v>
      </c>
      <c r="J47" s="4">
        <v>0</v>
      </c>
      <c r="K47" s="4">
        <v>3</v>
      </c>
      <c r="L47" s="4">
        <v>0</v>
      </c>
      <c r="M47" s="4" t="s">
        <v>18</v>
      </c>
      <c r="N47" s="4">
        <v>0</v>
      </c>
      <c r="O47" s="3">
        <f>=0</f>
      </c>
    </row>
    <row r="48" spans="1:15" x14ac:dyDescent="0.25">
      <c r="A48" s="2" t="s">
        <v>130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131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132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133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134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135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 t="s">
        <v>25</v>
      </c>
      <c r="O51" s="6">
        <f>=SUM(O2:O50)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136</v>
      </c>
      <c r="B2" s="4">
        <v>1</v>
      </c>
      <c r="C2" s="4" t="s">
        <v>27</v>
      </c>
      <c r="D2" s="4"/>
      <c r="E2" s="4"/>
      <c r="F2" s="4">
        <v>20</v>
      </c>
      <c r="G2" s="4" t="s">
        <v>137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138</v>
      </c>
      <c r="B3" s="4">
        <v>1</v>
      </c>
      <c r="C3" s="4" t="s">
        <v>27</v>
      </c>
      <c r="D3" s="4"/>
      <c r="E3" s="4"/>
      <c r="F3" s="4">
        <v>20</v>
      </c>
      <c r="G3" s="4" t="s">
        <v>139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140</v>
      </c>
      <c r="B4" s="4">
        <v>1</v>
      </c>
      <c r="C4" s="4" t="s">
        <v>27</v>
      </c>
      <c r="D4" s="4"/>
      <c r="E4" s="4"/>
      <c r="F4" s="4">
        <v>29</v>
      </c>
      <c r="G4" s="4" t="s">
        <v>141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142</v>
      </c>
      <c r="B5" s="4">
        <v>1</v>
      </c>
      <c r="C5" s="4" t="s">
        <v>27</v>
      </c>
      <c r="D5" s="4"/>
      <c r="E5" s="4"/>
      <c r="F5" s="4">
        <v>29</v>
      </c>
      <c r="G5" s="4" t="s">
        <v>143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144</v>
      </c>
      <c r="B6" s="4">
        <v>2</v>
      </c>
      <c r="C6" s="4" t="s">
        <v>27</v>
      </c>
      <c r="D6" s="4"/>
      <c r="E6" s="4"/>
      <c r="F6" s="4">
        <v>29</v>
      </c>
      <c r="G6" s="4" t="s">
        <v>145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146</v>
      </c>
      <c r="B7" s="4">
        <v>2</v>
      </c>
      <c r="C7" s="4" t="s">
        <v>27</v>
      </c>
      <c r="D7" s="4"/>
      <c r="E7" s="4"/>
      <c r="F7" s="4">
        <v>22</v>
      </c>
      <c r="G7" s="4" t="s">
        <v>147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148</v>
      </c>
      <c r="B8" s="4">
        <v>1</v>
      </c>
      <c r="C8" s="4" t="s">
        <v>27</v>
      </c>
      <c r="D8" s="4"/>
      <c r="E8" s="4"/>
      <c r="F8" s="4">
        <v>20</v>
      </c>
      <c r="G8" s="4" t="s">
        <v>149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150</v>
      </c>
      <c r="B9" s="4">
        <v>2</v>
      </c>
      <c r="C9" s="4" t="s">
        <v>27</v>
      </c>
      <c r="D9" s="4"/>
      <c r="E9" s="4"/>
      <c r="F9" s="4">
        <v>35</v>
      </c>
      <c r="G9" s="4" t="s">
        <v>151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152</v>
      </c>
      <c r="B10" s="4">
        <v>1</v>
      </c>
      <c r="C10" s="4" t="s">
        <v>27</v>
      </c>
      <c r="D10" s="4"/>
      <c r="E10" s="4"/>
      <c r="F10" s="4">
        <v>50</v>
      </c>
      <c r="G10" s="4" t="s">
        <v>153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154</v>
      </c>
      <c r="B11" s="4">
        <v>1</v>
      </c>
      <c r="C11" s="4" t="s">
        <v>27</v>
      </c>
      <c r="D11" s="4"/>
      <c r="E11" s="4"/>
      <c r="F11" s="4">
        <v>17.5</v>
      </c>
      <c r="G11" s="4" t="s">
        <v>86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155</v>
      </c>
      <c r="B12" s="4">
        <v>4</v>
      </c>
      <c r="C12" s="4" t="s">
        <v>27</v>
      </c>
      <c r="D12" s="4"/>
      <c r="E12" s="4"/>
      <c r="F12" s="4">
        <v>9.5</v>
      </c>
      <c r="G12" s="4" t="s">
        <v>156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157</v>
      </c>
      <c r="B13" s="4">
        <v>3</v>
      </c>
      <c r="C13" s="4" t="s">
        <v>27</v>
      </c>
      <c r="D13" s="4"/>
      <c r="E13" s="4"/>
      <c r="F13" s="4">
        <v>15</v>
      </c>
      <c r="G13" s="4" t="s">
        <v>158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159</v>
      </c>
      <c r="B14" s="4">
        <v>3</v>
      </c>
      <c r="C14" s="4" t="s">
        <v>27</v>
      </c>
      <c r="D14" s="4"/>
      <c r="E14" s="4"/>
      <c r="F14" s="4">
        <v>18</v>
      </c>
      <c r="G14" s="4" t="s">
        <v>160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161</v>
      </c>
      <c r="B15" s="4">
        <v>7</v>
      </c>
      <c r="C15" s="4" t="s">
        <v>27</v>
      </c>
      <c r="D15" s="4"/>
      <c r="E15" s="4"/>
      <c r="F15" s="4">
        <v>18</v>
      </c>
      <c r="G15" s="4" t="s">
        <v>54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162</v>
      </c>
      <c r="B16" s="4">
        <v>1</v>
      </c>
      <c r="C16" s="4" t="s">
        <v>27</v>
      </c>
      <c r="D16" s="4"/>
      <c r="E16" s="4"/>
      <c r="F16" s="4">
        <v>22</v>
      </c>
      <c r="G16" s="4" t="s">
        <v>163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164</v>
      </c>
      <c r="B17" s="4">
        <v>3</v>
      </c>
      <c r="C17" s="4" t="s">
        <v>27</v>
      </c>
      <c r="D17" s="4"/>
      <c r="E17" s="4"/>
      <c r="F17" s="4">
        <v>30</v>
      </c>
      <c r="G17" s="4" t="s">
        <v>165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166</v>
      </c>
      <c r="B18" s="4">
        <v>2</v>
      </c>
      <c r="C18" s="4" t="s">
        <v>27</v>
      </c>
      <c r="D18" s="4"/>
      <c r="E18" s="4"/>
      <c r="F18" s="4">
        <v>50</v>
      </c>
      <c r="G18" s="4" t="s">
        <v>167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168</v>
      </c>
      <c r="B19" s="4">
        <v>0</v>
      </c>
      <c r="C19" s="4" t="s">
        <v>27</v>
      </c>
      <c r="D19" s="4"/>
      <c r="E19" s="4"/>
      <c r="F19" s="4">
        <v>50</v>
      </c>
      <c r="G19" s="4" t="s">
        <v>76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169</v>
      </c>
      <c r="B20" s="4">
        <v>5</v>
      </c>
      <c r="C20" s="4" t="s">
        <v>27</v>
      </c>
      <c r="D20" s="4"/>
      <c r="E20" s="4"/>
      <c r="F20" s="4">
        <v>35.5</v>
      </c>
      <c r="G20" s="4" t="s">
        <v>170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171</v>
      </c>
      <c r="B21" s="4">
        <v>1</v>
      </c>
      <c r="C21" s="4" t="s">
        <v>27</v>
      </c>
      <c r="D21" s="4"/>
      <c r="E21" s="4"/>
      <c r="F21" s="4">
        <v>58</v>
      </c>
      <c r="G21" s="4" t="s">
        <v>172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173</v>
      </c>
      <c r="B22" s="4">
        <v>1</v>
      </c>
      <c r="C22" s="4" t="s">
        <v>27</v>
      </c>
      <c r="D22" s="4"/>
      <c r="E22" s="4"/>
      <c r="F22" s="4">
        <v>21.5</v>
      </c>
      <c r="G22" s="4" t="s">
        <v>174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175</v>
      </c>
      <c r="B23" s="4">
        <v>1</v>
      </c>
      <c r="C23" s="4" t="s">
        <v>27</v>
      </c>
      <c r="D23" s="4"/>
      <c r="E23" s="4"/>
      <c r="F23" s="4">
        <v>25</v>
      </c>
      <c r="G23" s="4" t="s">
        <v>176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177</v>
      </c>
      <c r="B24" s="4">
        <v>1</v>
      </c>
      <c r="C24" s="4" t="s">
        <v>27</v>
      </c>
      <c r="D24" s="4"/>
      <c r="E24" s="4"/>
      <c r="F24" s="4">
        <v>25</v>
      </c>
      <c r="G24" s="4" t="s">
        <v>178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179</v>
      </c>
      <c r="B25" s="4">
        <v>1</v>
      </c>
      <c r="C25" s="4" t="s">
        <v>27</v>
      </c>
      <c r="D25" s="4"/>
      <c r="E25" s="4"/>
      <c r="F25" s="4">
        <v>131</v>
      </c>
      <c r="G25" s="4" t="s">
        <v>180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181</v>
      </c>
      <c r="B26" s="4">
        <v>1</v>
      </c>
      <c r="C26" s="4" t="s">
        <v>27</v>
      </c>
      <c r="D26" s="4"/>
      <c r="E26" s="4"/>
      <c r="F26" s="4">
        <v>30</v>
      </c>
      <c r="G26" s="4" t="s">
        <v>182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183</v>
      </c>
      <c r="B27" s="4">
        <v>1</v>
      </c>
      <c r="C27" s="4" t="s">
        <v>27</v>
      </c>
      <c r="D27" s="4"/>
      <c r="E27" s="4"/>
      <c r="F27" s="4">
        <v>79</v>
      </c>
      <c r="G27" s="4" t="s">
        <v>184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185</v>
      </c>
      <c r="B28" s="4">
        <v>1</v>
      </c>
      <c r="C28" s="4" t="s">
        <v>27</v>
      </c>
      <c r="D28" s="4"/>
      <c r="E28" s="4"/>
      <c r="F28" s="4">
        <v>14.5</v>
      </c>
      <c r="G28" s="4" t="s">
        <v>186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187</v>
      </c>
      <c r="B29" s="4">
        <v>1</v>
      </c>
      <c r="C29" s="4" t="s">
        <v>27</v>
      </c>
      <c r="D29" s="4"/>
      <c r="E29" s="4"/>
      <c r="F29" s="4">
        <v>38</v>
      </c>
      <c r="G29" s="4" t="s">
        <v>188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189</v>
      </c>
      <c r="B30" s="4">
        <v>1</v>
      </c>
      <c r="C30" s="4" t="s">
        <v>27</v>
      </c>
      <c r="D30" s="4"/>
      <c r="E30" s="4"/>
      <c r="F30" s="4">
        <v>19</v>
      </c>
      <c r="G30" s="4" t="s">
        <v>190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191</v>
      </c>
      <c r="B31" s="4">
        <v>1</v>
      </c>
      <c r="C31" s="4" t="s">
        <v>27</v>
      </c>
      <c r="D31" s="4"/>
      <c r="E31" s="4"/>
      <c r="F31" s="4">
        <v>19</v>
      </c>
      <c r="G31" s="4" t="s">
        <v>192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193</v>
      </c>
      <c r="B32" s="4">
        <v>1</v>
      </c>
      <c r="C32" s="4" t="s">
        <v>27</v>
      </c>
      <c r="D32" s="4"/>
      <c r="E32" s="4"/>
      <c r="F32" s="4">
        <v>33</v>
      </c>
      <c r="G32" s="4" t="s">
        <v>194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195</v>
      </c>
      <c r="B33" s="4">
        <v>1</v>
      </c>
      <c r="C33" s="4" t="s">
        <v>27</v>
      </c>
      <c r="D33" s="4"/>
      <c r="E33" s="4"/>
      <c r="F33" s="4">
        <v>35</v>
      </c>
      <c r="G33" s="4" t="s">
        <v>196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197</v>
      </c>
      <c r="B34" s="4">
        <v>1</v>
      </c>
      <c r="C34" s="4" t="s">
        <v>27</v>
      </c>
      <c r="D34" s="4"/>
      <c r="E34" s="4"/>
      <c r="F34" s="4">
        <v>67</v>
      </c>
      <c r="G34" s="4" t="s">
        <v>198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199</v>
      </c>
      <c r="B35" s="4">
        <v>1</v>
      </c>
      <c r="C35" s="4" t="s">
        <v>27</v>
      </c>
      <c r="D35" s="4"/>
      <c r="E35" s="4"/>
      <c r="F35" s="4">
        <v>183</v>
      </c>
      <c r="G35" s="4" t="s">
        <v>200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201</v>
      </c>
      <c r="B36" s="4">
        <v>1</v>
      </c>
      <c r="C36" s="4" t="s">
        <v>27</v>
      </c>
      <c r="D36" s="4"/>
      <c r="E36" s="4"/>
      <c r="F36" s="4">
        <v>143</v>
      </c>
      <c r="G36" s="4" t="s">
        <v>202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203</v>
      </c>
      <c r="B37" s="4">
        <v>1</v>
      </c>
      <c r="C37" s="4" t="s">
        <v>27</v>
      </c>
      <c r="D37" s="4"/>
      <c r="E37" s="4"/>
      <c r="F37" s="4">
        <v>27.5</v>
      </c>
      <c r="G37" s="4" t="s">
        <v>204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205</v>
      </c>
      <c r="B38" s="4">
        <v>0</v>
      </c>
      <c r="C38" s="4" t="s">
        <v>27</v>
      </c>
      <c r="D38" s="4"/>
      <c r="E38" s="4"/>
      <c r="F38" s="4">
        <v>47.5</v>
      </c>
      <c r="G38" s="4" t="s">
        <v>206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207</v>
      </c>
      <c r="B39" s="4">
        <v>0</v>
      </c>
      <c r="C39" s="4" t="s">
        <v>27</v>
      </c>
      <c r="D39" s="4"/>
      <c r="E39" s="4"/>
      <c r="F39" s="4">
        <v>29.5</v>
      </c>
      <c r="G39" s="4" t="s">
        <v>208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209</v>
      </c>
      <c r="B40" s="4">
        <v>0</v>
      </c>
      <c r="C40" s="4" t="s">
        <v>27</v>
      </c>
      <c r="D40" s="4"/>
      <c r="E40" s="4"/>
      <c r="F40" s="4">
        <v>49</v>
      </c>
      <c r="G40" s="4" t="s">
        <v>210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211</v>
      </c>
      <c r="B41" s="4">
        <v>1</v>
      </c>
      <c r="C41" s="4" t="s">
        <v>27</v>
      </c>
      <c r="D41" s="4"/>
      <c r="E41" s="4"/>
      <c r="F41" s="4">
        <v>30</v>
      </c>
      <c r="G41" s="4" t="s">
        <v>212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213</v>
      </c>
      <c r="B42" s="4">
        <v>2</v>
      </c>
      <c r="C42" s="4" t="s">
        <v>27</v>
      </c>
      <c r="D42" s="4"/>
      <c r="E42" s="4"/>
      <c r="F42" s="4">
        <v>41</v>
      </c>
      <c r="G42" s="4" t="s">
        <v>214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215</v>
      </c>
      <c r="B43" s="4">
        <v>1</v>
      </c>
      <c r="C43" s="4" t="s">
        <v>27</v>
      </c>
      <c r="D43" s="4"/>
      <c r="E43" s="4"/>
      <c r="F43" s="4">
        <v>22.5</v>
      </c>
      <c r="G43" s="4" t="s">
        <v>216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217</v>
      </c>
      <c r="B44" s="4">
        <v>8</v>
      </c>
      <c r="C44" s="4" t="s">
        <v>27</v>
      </c>
      <c r="D44" s="4"/>
      <c r="E44" s="4"/>
      <c r="F44" s="4">
        <v>72</v>
      </c>
      <c r="G44" s="4" t="s">
        <v>218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219</v>
      </c>
      <c r="B45" s="4">
        <v>2</v>
      </c>
      <c r="C45" s="4" t="s">
        <v>27</v>
      </c>
      <c r="D45" s="4"/>
      <c r="E45" s="4"/>
      <c r="F45" s="4">
        <v>72</v>
      </c>
      <c r="G45" s="4" t="s">
        <v>220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221</v>
      </c>
      <c r="B46" s="4">
        <v>1</v>
      </c>
      <c r="C46" s="4" t="s">
        <v>27</v>
      </c>
      <c r="D46" s="4"/>
      <c r="E46" s="4"/>
      <c r="F46" s="4">
        <v>41</v>
      </c>
      <c r="G46" s="4" t="s">
        <v>222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223</v>
      </c>
      <c r="B47" s="4">
        <v>1</v>
      </c>
      <c r="C47" s="4" t="s">
        <v>27</v>
      </c>
      <c r="D47" s="4"/>
      <c r="E47" s="4"/>
      <c r="F47" s="4">
        <v>84</v>
      </c>
      <c r="G47" s="4" t="s">
        <v>224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225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226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227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228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229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230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231</v>
      </c>
      <c r="B51" s="4">
        <v>1</v>
      </c>
      <c r="C51" s="4"/>
      <c r="D51" s="4">
        <v>0</v>
      </c>
      <c r="E51" s="4" t="s">
        <v>102</v>
      </c>
      <c r="F51" s="4">
        <v>0</v>
      </c>
      <c r="G51" s="4" t="s">
        <v>232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233</v>
      </c>
      <c r="B52" s="4">
        <v>1</v>
      </c>
      <c r="C52" s="4"/>
      <c r="D52" s="4">
        <v>0</v>
      </c>
      <c r="E52" s="4" t="s">
        <v>102</v>
      </c>
      <c r="F52" s="4">
        <v>0</v>
      </c>
      <c r="G52" s="4" t="s">
        <v>234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235</v>
      </c>
      <c r="B53" s="4">
        <v>140</v>
      </c>
      <c r="C53" s="4"/>
      <c r="D53" s="4">
        <v>0</v>
      </c>
      <c r="E53" s="4" t="s">
        <v>102</v>
      </c>
      <c r="F53" s="4">
        <v>0</v>
      </c>
      <c r="G53" s="4" t="s">
        <v>236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237</v>
      </c>
      <c r="B54" s="4">
        <v>1</v>
      </c>
      <c r="C54" s="4"/>
      <c r="D54" s="4">
        <v>0</v>
      </c>
      <c r="E54" s="4" t="s">
        <v>102</v>
      </c>
      <c r="F54" s="4">
        <v>0</v>
      </c>
      <c r="G54" s="4" t="s">
        <v>238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102</v>
      </c>
      <c r="N54" s="4">
        <v>0</v>
      </c>
      <c r="O54" s="3">
        <f>=0</f>
      </c>
    </row>
    <row r="55" spans="1:15" x14ac:dyDescent="0.25">
      <c r="A55" s="2" t="s">
        <v>239</v>
      </c>
      <c r="B55" s="4">
        <v>1</v>
      </c>
      <c r="C55" s="4"/>
      <c r="D55" s="4">
        <v>0</v>
      </c>
      <c r="E55" s="4" t="s">
        <v>102</v>
      </c>
      <c r="F55" s="4">
        <v>0</v>
      </c>
      <c r="G55" s="4" t="s">
        <v>240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241</v>
      </c>
      <c r="B56" s="4">
        <v>2</v>
      </c>
      <c r="C56" s="4"/>
      <c r="D56" s="4">
        <v>0</v>
      </c>
      <c r="E56" s="4" t="s">
        <v>102</v>
      </c>
      <c r="F56" s="4">
        <v>0</v>
      </c>
      <c r="G56" s="4" t="s">
        <v>242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102</v>
      </c>
      <c r="N56" s="4">
        <v>0</v>
      </c>
      <c r="O56" s="3">
        <f>=0</f>
      </c>
    </row>
    <row r="57" spans="1:15" x14ac:dyDescent="0.25">
      <c r="A57" s="2" t="s">
        <v>243</v>
      </c>
      <c r="B57" s="4">
        <v>2</v>
      </c>
      <c r="C57" s="4"/>
      <c r="D57" s="4">
        <v>0</v>
      </c>
      <c r="E57" s="4" t="s">
        <v>102</v>
      </c>
      <c r="F57" s="4">
        <v>0</v>
      </c>
      <c r="G57" s="4" t="s">
        <v>244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102</v>
      </c>
      <c r="N57" s="4">
        <v>0</v>
      </c>
      <c r="O57" s="3">
        <f>=0</f>
      </c>
    </row>
    <row r="58" spans="1:15" x14ac:dyDescent="0.25">
      <c r="A58" s="2" t="s">
        <v>245</v>
      </c>
      <c r="B58" s="4">
        <v>1</v>
      </c>
      <c r="C58" s="4"/>
      <c r="D58" s="4">
        <v>0</v>
      </c>
      <c r="E58" s="4" t="s">
        <v>102</v>
      </c>
      <c r="F58" s="4">
        <v>0</v>
      </c>
      <c r="G58" s="4" t="s">
        <v>246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247</v>
      </c>
      <c r="B59" s="4">
        <v>1</v>
      </c>
      <c r="C59" s="4"/>
      <c r="D59" s="4">
        <v>0</v>
      </c>
      <c r="E59" s="4" t="s">
        <v>102</v>
      </c>
      <c r="F59" s="4">
        <v>0</v>
      </c>
      <c r="G59" s="4" t="s">
        <v>248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249</v>
      </c>
      <c r="B60" s="4">
        <v>1</v>
      </c>
      <c r="C60" s="4"/>
      <c r="D60" s="4">
        <v>0</v>
      </c>
      <c r="E60" s="4" t="s">
        <v>102</v>
      </c>
      <c r="F60" s="4">
        <v>0</v>
      </c>
      <c r="G60" s="4" t="s">
        <v>250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251</v>
      </c>
      <c r="B61" s="4">
        <v>1</v>
      </c>
      <c r="C61" s="4"/>
      <c r="D61" s="4">
        <v>0</v>
      </c>
      <c r="E61" s="4" t="s">
        <v>102</v>
      </c>
      <c r="F61" s="4">
        <v>0</v>
      </c>
      <c r="G61" s="4" t="s">
        <v>252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253</v>
      </c>
      <c r="B62" s="4">
        <v>1</v>
      </c>
      <c r="C62" s="4"/>
      <c r="D62" s="4">
        <v>0</v>
      </c>
      <c r="E62" s="4" t="s">
        <v>102</v>
      </c>
      <c r="F62" s="4">
        <v>0</v>
      </c>
      <c r="G62" s="4" t="s">
        <v>254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255</v>
      </c>
      <c r="B2" s="4">
        <v>1</v>
      </c>
      <c r="C2" s="4" t="s">
        <v>27</v>
      </c>
      <c r="D2" s="4"/>
      <c r="E2" s="4"/>
      <c r="F2" s="4">
        <v>19.5</v>
      </c>
      <c r="G2" s="4" t="s">
        <v>256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257</v>
      </c>
      <c r="B3" s="4">
        <v>1</v>
      </c>
      <c r="C3" s="4" t="s">
        <v>27</v>
      </c>
      <c r="D3" s="4"/>
      <c r="E3" s="4"/>
      <c r="F3" s="4">
        <v>10</v>
      </c>
      <c r="G3" s="4" t="s">
        <v>258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259</v>
      </c>
      <c r="B4" s="4">
        <v>1</v>
      </c>
      <c r="C4" s="4" t="s">
        <v>27</v>
      </c>
      <c r="D4" s="4"/>
      <c r="E4" s="4"/>
      <c r="F4" s="4">
        <v>27</v>
      </c>
      <c r="G4" s="4" t="s">
        <v>260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261</v>
      </c>
      <c r="B5" s="4">
        <v>1</v>
      </c>
      <c r="C5" s="4" t="s">
        <v>27</v>
      </c>
      <c r="D5" s="4"/>
      <c r="E5" s="4"/>
      <c r="F5" s="4">
        <v>67</v>
      </c>
      <c r="G5" s="4" t="s">
        <v>262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263</v>
      </c>
      <c r="B6" s="4">
        <v>1</v>
      </c>
      <c r="C6" s="4" t="s">
        <v>27</v>
      </c>
      <c r="D6" s="4"/>
      <c r="E6" s="4"/>
      <c r="F6" s="4">
        <v>78</v>
      </c>
      <c r="G6" s="4" t="s">
        <v>264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265</v>
      </c>
      <c r="B7" s="4">
        <v>1</v>
      </c>
      <c r="C7" s="4" t="s">
        <v>27</v>
      </c>
      <c r="D7" s="4"/>
      <c r="E7" s="4"/>
      <c r="F7" s="4">
        <v>90</v>
      </c>
      <c r="G7" s="4" t="s">
        <v>266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267</v>
      </c>
      <c r="B8" s="4">
        <v>1</v>
      </c>
      <c r="C8" s="4" t="s">
        <v>27</v>
      </c>
      <c r="D8" s="4"/>
      <c r="E8" s="4"/>
      <c r="F8" s="4">
        <v>19</v>
      </c>
      <c r="G8" s="4" t="s">
        <v>268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269</v>
      </c>
      <c r="B9" s="4">
        <v>1</v>
      </c>
      <c r="C9" s="4" t="s">
        <v>27</v>
      </c>
      <c r="D9" s="4"/>
      <c r="E9" s="4"/>
      <c r="F9" s="4">
        <v>63</v>
      </c>
      <c r="G9" s="4" t="s">
        <v>270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271</v>
      </c>
      <c r="B10" s="4">
        <v>73</v>
      </c>
      <c r="C10" s="4" t="s">
        <v>27</v>
      </c>
      <c r="D10" s="4"/>
      <c r="E10" s="4"/>
      <c r="F10" s="4">
        <v>10</v>
      </c>
      <c r="G10" s="4" t="s">
        <v>272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273</v>
      </c>
      <c r="B11" s="4">
        <v>42</v>
      </c>
      <c r="C11" s="4" t="s">
        <v>27</v>
      </c>
      <c r="D11" s="4"/>
      <c r="E11" s="4"/>
      <c r="F11" s="4">
        <v>15</v>
      </c>
      <c r="G11" s="4" t="s">
        <v>274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275</v>
      </c>
      <c r="B12" s="4">
        <v>1</v>
      </c>
      <c r="C12" s="4" t="s">
        <v>27</v>
      </c>
      <c r="D12" s="4"/>
      <c r="E12" s="4"/>
      <c r="F12" s="4">
        <v>31</v>
      </c>
      <c r="G12" s="4" t="s">
        <v>276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277</v>
      </c>
      <c r="B13" s="4">
        <v>1</v>
      </c>
      <c r="C13" s="4" t="s">
        <v>27</v>
      </c>
      <c r="D13" s="4"/>
      <c r="E13" s="4"/>
      <c r="F13" s="4">
        <v>50</v>
      </c>
      <c r="G13" s="4" t="s">
        <v>278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279</v>
      </c>
      <c r="B14" s="4">
        <v>1</v>
      </c>
      <c r="C14" s="4" t="s">
        <v>27</v>
      </c>
      <c r="D14" s="4"/>
      <c r="E14" s="4"/>
      <c r="F14" s="4">
        <v>18</v>
      </c>
      <c r="G14" s="4" t="s">
        <v>280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281</v>
      </c>
      <c r="B15" s="4">
        <v>1</v>
      </c>
      <c r="C15" s="4" t="s">
        <v>27</v>
      </c>
      <c r="D15" s="4"/>
      <c r="E15" s="4"/>
      <c r="F15" s="4">
        <v>64</v>
      </c>
      <c r="G15" s="4" t="s">
        <v>282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283</v>
      </c>
      <c r="B16" s="4">
        <v>1</v>
      </c>
      <c r="C16" s="4" t="s">
        <v>27</v>
      </c>
      <c r="D16" s="4"/>
      <c r="E16" s="4"/>
      <c r="F16" s="4">
        <v>78</v>
      </c>
      <c r="G16" s="4" t="s">
        <v>284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285</v>
      </c>
      <c r="B17" s="4">
        <v>1</v>
      </c>
      <c r="C17" s="4" t="s">
        <v>27</v>
      </c>
      <c r="D17" s="4"/>
      <c r="E17" s="4"/>
      <c r="F17" s="4">
        <v>90</v>
      </c>
      <c r="G17" s="4" t="s">
        <v>286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287</v>
      </c>
      <c r="B18" s="4">
        <v>1</v>
      </c>
      <c r="C18" s="4" t="s">
        <v>27</v>
      </c>
      <c r="D18" s="4"/>
      <c r="E18" s="4"/>
      <c r="F18" s="4">
        <v>43</v>
      </c>
      <c r="G18" s="4" t="s">
        <v>288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289</v>
      </c>
      <c r="B19" s="4">
        <v>1</v>
      </c>
      <c r="C19" s="4" t="s">
        <v>27</v>
      </c>
      <c r="D19" s="4"/>
      <c r="E19" s="4"/>
      <c r="F19" s="4">
        <v>33</v>
      </c>
      <c r="G19" s="4" t="s">
        <v>290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291</v>
      </c>
      <c r="B20" s="4">
        <v>1</v>
      </c>
      <c r="C20" s="4" t="s">
        <v>27</v>
      </c>
      <c r="D20" s="4"/>
      <c r="E20" s="4"/>
      <c r="F20" s="4">
        <v>19</v>
      </c>
      <c r="G20" s="4" t="s">
        <v>292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293</v>
      </c>
      <c r="B21" s="4">
        <v>1</v>
      </c>
      <c r="C21" s="4" t="s">
        <v>27</v>
      </c>
      <c r="D21" s="4"/>
      <c r="E21" s="4"/>
      <c r="F21" s="4">
        <v>34</v>
      </c>
      <c r="G21" s="4" t="s">
        <v>294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295</v>
      </c>
      <c r="B22" s="4">
        <v>1</v>
      </c>
      <c r="C22" s="4" t="s">
        <v>27</v>
      </c>
      <c r="D22" s="4"/>
      <c r="E22" s="4"/>
      <c r="F22" s="4">
        <v>27.5</v>
      </c>
      <c r="G22" s="4" t="s">
        <v>296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297</v>
      </c>
      <c r="B23" s="4">
        <v>1</v>
      </c>
      <c r="C23" s="4" t="s">
        <v>27</v>
      </c>
      <c r="D23" s="4"/>
      <c r="E23" s="4"/>
      <c r="F23" s="4">
        <v>44</v>
      </c>
      <c r="G23" s="4" t="s">
        <v>298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299</v>
      </c>
      <c r="B24" s="4">
        <v>1</v>
      </c>
      <c r="C24" s="4" t="s">
        <v>27</v>
      </c>
      <c r="D24" s="4"/>
      <c r="E24" s="4"/>
      <c r="F24" s="4">
        <v>32</v>
      </c>
      <c r="G24" s="4" t="s">
        <v>300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301</v>
      </c>
      <c r="B25" s="4">
        <v>1</v>
      </c>
      <c r="C25" s="4" t="s">
        <v>27</v>
      </c>
      <c r="D25" s="4"/>
      <c r="E25" s="4"/>
      <c r="F25" s="4">
        <v>30</v>
      </c>
      <c r="G25" s="4" t="s">
        <v>302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303</v>
      </c>
      <c r="B26" s="4">
        <v>1</v>
      </c>
      <c r="C26" s="4" t="s">
        <v>27</v>
      </c>
      <c r="D26" s="4"/>
      <c r="E26" s="4"/>
      <c r="F26" s="4">
        <v>15.5</v>
      </c>
      <c r="G26" s="4" t="s">
        <v>304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305</v>
      </c>
      <c r="B27" s="4">
        <v>1</v>
      </c>
      <c r="C27" s="4" t="s">
        <v>27</v>
      </c>
      <c r="D27" s="4"/>
      <c r="E27" s="4"/>
      <c r="F27" s="4">
        <v>18</v>
      </c>
      <c r="G27" s="4" t="s">
        <v>306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307</v>
      </c>
      <c r="B28" s="4">
        <v>1</v>
      </c>
      <c r="C28" s="4" t="s">
        <v>27</v>
      </c>
      <c r="D28" s="4"/>
      <c r="E28" s="4"/>
      <c r="F28" s="4">
        <v>40</v>
      </c>
      <c r="G28" s="4" t="s">
        <v>308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309</v>
      </c>
      <c r="B29" s="4">
        <v>1</v>
      </c>
      <c r="C29" s="4" t="s">
        <v>27</v>
      </c>
      <c r="D29" s="4"/>
      <c r="E29" s="4"/>
      <c r="F29" s="4">
        <v>46</v>
      </c>
      <c r="G29" s="4" t="s">
        <v>310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311</v>
      </c>
      <c r="B30" s="4">
        <v>1</v>
      </c>
      <c r="C30" s="4" t="s">
        <v>27</v>
      </c>
      <c r="D30" s="4"/>
      <c r="E30" s="4"/>
      <c r="F30" s="4">
        <v>29</v>
      </c>
      <c r="G30" s="4" t="s">
        <v>312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313</v>
      </c>
      <c r="B31" s="4">
        <v>1</v>
      </c>
      <c r="C31" s="4" t="s">
        <v>27</v>
      </c>
      <c r="D31" s="4"/>
      <c r="E31" s="4"/>
      <c r="F31" s="4">
        <v>48</v>
      </c>
      <c r="G31" s="4" t="s">
        <v>314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315</v>
      </c>
      <c r="B32" s="4">
        <v>3</v>
      </c>
      <c r="C32" s="4" t="s">
        <v>27</v>
      </c>
      <c r="D32" s="4"/>
      <c r="E32" s="4"/>
      <c r="F32" s="4">
        <v>50</v>
      </c>
      <c r="G32" s="4" t="s">
        <v>316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317</v>
      </c>
      <c r="B33" s="4">
        <v>1</v>
      </c>
      <c r="C33" s="4" t="s">
        <v>27</v>
      </c>
      <c r="D33" s="4"/>
      <c r="E33" s="4"/>
      <c r="F33" s="4">
        <v>10</v>
      </c>
      <c r="G33" s="4" t="s">
        <v>318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319</v>
      </c>
      <c r="B34" s="4">
        <v>1</v>
      </c>
      <c r="C34" s="4" t="s">
        <v>27</v>
      </c>
      <c r="D34" s="4"/>
      <c r="E34" s="4"/>
      <c r="F34" s="4">
        <v>14</v>
      </c>
      <c r="G34" s="4" t="s">
        <v>320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321</v>
      </c>
      <c r="B35" s="4">
        <v>1</v>
      </c>
      <c r="C35" s="4" t="s">
        <v>27</v>
      </c>
      <c r="D35" s="4"/>
      <c r="E35" s="4"/>
      <c r="F35" s="4">
        <v>46</v>
      </c>
      <c r="G35" s="4" t="s">
        <v>322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323</v>
      </c>
      <c r="B36" s="4">
        <v>1</v>
      </c>
      <c r="C36" s="4" t="s">
        <v>27</v>
      </c>
      <c r="D36" s="4"/>
      <c r="E36" s="4"/>
      <c r="F36" s="4">
        <v>40</v>
      </c>
      <c r="G36" s="4" t="s">
        <v>324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325</v>
      </c>
      <c r="B37" s="4">
        <v>1</v>
      </c>
      <c r="C37" s="4" t="s">
        <v>27</v>
      </c>
      <c r="D37" s="4"/>
      <c r="E37" s="4"/>
      <c r="F37" s="4">
        <v>16</v>
      </c>
      <c r="G37" s="4" t="s">
        <v>326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327</v>
      </c>
      <c r="B38" s="4">
        <v>1</v>
      </c>
      <c r="C38" s="4" t="s">
        <v>27</v>
      </c>
      <c r="D38" s="4"/>
      <c r="E38" s="4"/>
      <c r="F38" s="4">
        <v>30</v>
      </c>
      <c r="G38" s="4" t="s">
        <v>328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329</v>
      </c>
      <c r="B39" s="4">
        <v>1</v>
      </c>
      <c r="C39" s="4" t="s">
        <v>27</v>
      </c>
      <c r="D39" s="4"/>
      <c r="E39" s="4"/>
      <c r="F39" s="4">
        <v>19</v>
      </c>
      <c r="G39" s="4" t="s">
        <v>330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331</v>
      </c>
      <c r="B40" s="4">
        <v>3</v>
      </c>
      <c r="C40" s="4" t="s">
        <v>27</v>
      </c>
      <c r="D40" s="4"/>
      <c r="E40" s="4"/>
      <c r="F40" s="4">
        <v>20</v>
      </c>
      <c r="G40" s="4" t="s">
        <v>332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333</v>
      </c>
      <c r="B41" s="4">
        <v>1</v>
      </c>
      <c r="C41" s="4" t="s">
        <v>27</v>
      </c>
      <c r="D41" s="4"/>
      <c r="E41" s="4"/>
      <c r="F41" s="4">
        <v>22</v>
      </c>
      <c r="G41" s="4" t="s">
        <v>334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335</v>
      </c>
      <c r="B42" s="4">
        <v>1</v>
      </c>
      <c r="C42" s="4" t="s">
        <v>27</v>
      </c>
      <c r="D42" s="4"/>
      <c r="E42" s="4"/>
      <c r="F42" s="4">
        <v>16</v>
      </c>
      <c r="G42" s="4" t="s">
        <v>336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337</v>
      </c>
      <c r="B43" s="4">
        <v>1</v>
      </c>
      <c r="C43" s="4" t="s">
        <v>27</v>
      </c>
      <c r="D43" s="4"/>
      <c r="E43" s="4"/>
      <c r="F43" s="4">
        <v>28.5</v>
      </c>
      <c r="G43" s="4" t="s">
        <v>338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339</v>
      </c>
      <c r="B44" s="4">
        <v>1</v>
      </c>
      <c r="C44" s="4" t="s">
        <v>27</v>
      </c>
      <c r="D44" s="4"/>
      <c r="E44" s="4"/>
      <c r="F44" s="4">
        <v>20</v>
      </c>
      <c r="G44" s="4" t="s">
        <v>340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341</v>
      </c>
      <c r="B45" s="4">
        <v>1</v>
      </c>
      <c r="C45" s="4" t="s">
        <v>27</v>
      </c>
      <c r="D45" s="4"/>
      <c r="E45" s="4"/>
      <c r="F45" s="4">
        <v>37</v>
      </c>
      <c r="G45" s="4" t="s">
        <v>342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343</v>
      </c>
      <c r="B46" s="4">
        <v>1</v>
      </c>
      <c r="C46" s="4" t="s">
        <v>27</v>
      </c>
      <c r="D46" s="4"/>
      <c r="E46" s="4"/>
      <c r="F46" s="4">
        <v>23</v>
      </c>
      <c r="G46" s="4" t="s">
        <v>344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345</v>
      </c>
      <c r="B47" s="4">
        <v>50</v>
      </c>
      <c r="C47" s="4" t="s">
        <v>27</v>
      </c>
      <c r="D47" s="4"/>
      <c r="E47" s="4"/>
      <c r="F47" s="4">
        <v>29.7</v>
      </c>
      <c r="G47" s="4" t="s">
        <v>346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347</v>
      </c>
      <c r="B48" s="4">
        <v>34</v>
      </c>
      <c r="C48" s="4" t="s">
        <v>27</v>
      </c>
      <c r="D48" s="4"/>
      <c r="E48" s="4"/>
      <c r="F48" s="4">
        <v>21</v>
      </c>
      <c r="G48" s="4" t="s">
        <v>348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349</v>
      </c>
      <c r="B49" s="4">
        <v>27</v>
      </c>
      <c r="C49" s="4" t="s">
        <v>27</v>
      </c>
      <c r="D49" s="4"/>
      <c r="E49" s="4"/>
      <c r="F49" s="4">
        <v>14.8</v>
      </c>
      <c r="G49" s="4" t="s">
        <v>350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351</v>
      </c>
      <c r="B50" s="4">
        <v>1</v>
      </c>
      <c r="C50" s="4" t="s">
        <v>27</v>
      </c>
      <c r="D50" s="4"/>
      <c r="E50" s="4"/>
      <c r="F50" s="4">
        <v>32</v>
      </c>
      <c r="G50" s="4" t="s">
        <v>352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353</v>
      </c>
      <c r="B51" s="4">
        <v>1</v>
      </c>
      <c r="C51" s="4" t="s">
        <v>27</v>
      </c>
      <c r="D51" s="4"/>
      <c r="E51" s="4"/>
      <c r="F51" s="4">
        <v>15</v>
      </c>
      <c r="G51" s="4" t="s">
        <v>354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355</v>
      </c>
      <c r="B52" s="4">
        <v>1</v>
      </c>
      <c r="C52" s="4" t="s">
        <v>27</v>
      </c>
      <c r="D52" s="4"/>
      <c r="E52" s="4"/>
      <c r="F52" s="4">
        <v>24</v>
      </c>
      <c r="G52" s="4" t="s">
        <v>356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357</v>
      </c>
      <c r="B53" s="4">
        <v>2</v>
      </c>
      <c r="C53" s="4" t="s">
        <v>27</v>
      </c>
      <c r="D53" s="4"/>
      <c r="E53" s="4"/>
      <c r="F53" s="4">
        <v>38</v>
      </c>
      <c r="G53" s="4" t="s">
        <v>358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359</v>
      </c>
      <c r="B54" s="4">
        <v>1</v>
      </c>
      <c r="C54" s="4" t="s">
        <v>27</v>
      </c>
      <c r="D54" s="4"/>
      <c r="E54" s="4"/>
      <c r="F54" s="4">
        <v>72.5</v>
      </c>
      <c r="G54" s="4" t="s">
        <v>360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361</v>
      </c>
      <c r="B55" s="4">
        <v>1</v>
      </c>
      <c r="C55" s="4" t="s">
        <v>27</v>
      </c>
      <c r="D55" s="4"/>
      <c r="E55" s="4"/>
      <c r="F55" s="4">
        <v>17.5</v>
      </c>
      <c r="G55" s="4" t="s">
        <v>362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363</v>
      </c>
      <c r="B56" s="4">
        <v>1</v>
      </c>
      <c r="C56" s="4" t="s">
        <v>27</v>
      </c>
      <c r="D56" s="4"/>
      <c r="E56" s="4"/>
      <c r="F56" s="4">
        <v>12</v>
      </c>
      <c r="G56" s="4" t="s">
        <v>364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365</v>
      </c>
      <c r="B57" s="4">
        <v>1</v>
      </c>
      <c r="C57" s="4" t="s">
        <v>27</v>
      </c>
      <c r="D57" s="4"/>
      <c r="E57" s="4"/>
      <c r="F57" s="4">
        <v>31</v>
      </c>
      <c r="G57" s="4" t="s">
        <v>366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367</v>
      </c>
      <c r="B58" s="4">
        <v>1</v>
      </c>
      <c r="C58" s="4" t="s">
        <v>27</v>
      </c>
      <c r="D58" s="4"/>
      <c r="E58" s="4"/>
      <c r="F58" s="4">
        <v>25.5</v>
      </c>
      <c r="G58" s="4" t="s">
        <v>368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369</v>
      </c>
      <c r="B59" s="4">
        <v>0</v>
      </c>
      <c r="C59" s="4" t="s">
        <v>27</v>
      </c>
      <c r="D59" s="4"/>
      <c r="E59" s="4"/>
      <c r="F59" s="4">
        <v>55</v>
      </c>
      <c r="G59" s="4" t="s">
        <v>370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371</v>
      </c>
      <c r="B60" s="4">
        <v>0</v>
      </c>
      <c r="C60" s="4" t="s">
        <v>27</v>
      </c>
      <c r="D60" s="4"/>
      <c r="E60" s="4"/>
      <c r="F60" s="4">
        <v>25</v>
      </c>
      <c r="G60" s="4" t="s">
        <v>372</v>
      </c>
      <c r="H60" s="4"/>
      <c r="I60" s="4"/>
      <c r="J60" s="4">
        <v>6.08</v>
      </c>
      <c r="K60" s="4">
        <v>3</v>
      </c>
      <c r="L60" s="4"/>
      <c r="M60" s="4" t="s">
        <v>102</v>
      </c>
      <c r="N60" s="4">
        <v>145</v>
      </c>
      <c r="O60" s="3">
        <f>=B60*(N60*F60/10000)*J60</f>
      </c>
    </row>
    <row r="61" spans="1:15" x14ac:dyDescent="0.25">
      <c r="A61" s="2" t="s">
        <v>373</v>
      </c>
      <c r="B61" s="4">
        <v>2</v>
      </c>
      <c r="C61" s="4" t="s">
        <v>27</v>
      </c>
      <c r="D61" s="4"/>
      <c r="E61" s="4"/>
      <c r="F61" s="4">
        <v>30</v>
      </c>
      <c r="G61" s="4" t="s">
        <v>374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375</v>
      </c>
      <c r="B62" s="4">
        <v>1</v>
      </c>
      <c r="C62" s="4" t="s">
        <v>27</v>
      </c>
      <c r="D62" s="4"/>
      <c r="E62" s="4"/>
      <c r="F62" s="4">
        <v>32</v>
      </c>
      <c r="G62" s="4" t="s">
        <v>376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377</v>
      </c>
      <c r="B63" s="4">
        <v>1</v>
      </c>
      <c r="C63" s="4" t="s">
        <v>27</v>
      </c>
      <c r="D63" s="4"/>
      <c r="E63" s="4"/>
      <c r="F63" s="4">
        <v>34</v>
      </c>
      <c r="G63" s="4" t="s">
        <v>378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379</v>
      </c>
      <c r="B64" s="4">
        <v>1</v>
      </c>
      <c r="C64" s="4"/>
      <c r="D64" s="4">
        <v>0</v>
      </c>
      <c r="E64" s="4" t="s">
        <v>102</v>
      </c>
      <c r="F64" s="4">
        <v>0</v>
      </c>
      <c r="G64" s="4" t="s">
        <v>380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381</v>
      </c>
      <c r="B65" s="4">
        <v>1</v>
      </c>
      <c r="C65" s="4"/>
      <c r="D65" s="4">
        <v>0</v>
      </c>
      <c r="E65" s="4" t="s">
        <v>102</v>
      </c>
      <c r="F65" s="4">
        <v>0</v>
      </c>
      <c r="G65" s="4" t="s">
        <v>382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102</v>
      </c>
      <c r="N65" s="4">
        <v>0</v>
      </c>
      <c r="O65" s="3">
        <f>=0</f>
      </c>
    </row>
    <row r="66" spans="1:15" x14ac:dyDescent="0.25">
      <c r="A66" s="2" t="s">
        <v>383</v>
      </c>
      <c r="B66" s="4">
        <v>5</v>
      </c>
      <c r="C66" s="4"/>
      <c r="D66" s="4">
        <v>0</v>
      </c>
      <c r="E66" s="4" t="s">
        <v>102</v>
      </c>
      <c r="F66" s="4">
        <v>0</v>
      </c>
      <c r="G66" s="4" t="s">
        <v>384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385</v>
      </c>
      <c r="B67" s="4">
        <v>1</v>
      </c>
      <c r="C67" s="4"/>
      <c r="D67" s="4">
        <v>0</v>
      </c>
      <c r="E67" s="4" t="s">
        <v>102</v>
      </c>
      <c r="F67" s="4">
        <v>0</v>
      </c>
      <c r="G67" s="4" t="s">
        <v>386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387</v>
      </c>
      <c r="B68" s="4">
        <v>1</v>
      </c>
      <c r="C68" s="4"/>
      <c r="D68" s="4">
        <v>0</v>
      </c>
      <c r="E68" s="4" t="s">
        <v>102</v>
      </c>
      <c r="F68" s="4">
        <v>0</v>
      </c>
      <c r="G68" s="4" t="s">
        <v>388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389</v>
      </c>
      <c r="B69" s="4">
        <v>1</v>
      </c>
      <c r="C69" s="4"/>
      <c r="D69" s="4">
        <v>0</v>
      </c>
      <c r="E69" s="4" t="s">
        <v>102</v>
      </c>
      <c r="F69" s="4">
        <v>0</v>
      </c>
      <c r="G69" s="4" t="s">
        <v>390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391</v>
      </c>
      <c r="B70" s="4">
        <v>1</v>
      </c>
      <c r="C70" s="4"/>
      <c r="D70" s="4">
        <v>0</v>
      </c>
      <c r="E70" s="4" t="s">
        <v>102</v>
      </c>
      <c r="F70" s="4">
        <v>0</v>
      </c>
      <c r="G70" s="4" t="s">
        <v>392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393</v>
      </c>
      <c r="B71" s="4">
        <v>1</v>
      </c>
      <c r="C71" s="4"/>
      <c r="D71" s="4">
        <v>0</v>
      </c>
      <c r="E71" s="4" t="s">
        <v>102</v>
      </c>
      <c r="F71" s="4">
        <v>0</v>
      </c>
      <c r="G71" s="4" t="s">
        <v>394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395</v>
      </c>
      <c r="B72" s="4">
        <v>1</v>
      </c>
      <c r="C72" s="4"/>
      <c r="D72" s="4">
        <v>0</v>
      </c>
      <c r="E72" s="4" t="s">
        <v>102</v>
      </c>
      <c r="F72" s="4">
        <v>0</v>
      </c>
      <c r="G72" s="4" t="s">
        <v>396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397</v>
      </c>
      <c r="B73" s="4">
        <v>1</v>
      </c>
      <c r="C73" s="4"/>
      <c r="D73" s="4">
        <v>0</v>
      </c>
      <c r="E73" s="4" t="s">
        <v>102</v>
      </c>
      <c r="F73" s="4">
        <v>0</v>
      </c>
      <c r="G73" s="4" t="s">
        <v>398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399</v>
      </c>
      <c r="B74" s="4">
        <v>1</v>
      </c>
      <c r="C74" s="4"/>
      <c r="D74" s="4">
        <v>0</v>
      </c>
      <c r="E74" s="4" t="s">
        <v>102</v>
      </c>
      <c r="F74" s="4">
        <v>0</v>
      </c>
      <c r="G74" s="4" t="s">
        <v>400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401</v>
      </c>
      <c r="B2" s="4">
        <v>1</v>
      </c>
      <c r="C2" s="4" t="s">
        <v>27</v>
      </c>
      <c r="D2" s="4"/>
      <c r="E2" s="4"/>
      <c r="F2" s="4">
        <v>30</v>
      </c>
      <c r="G2" s="4" t="s">
        <v>402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403</v>
      </c>
      <c r="B3" s="4">
        <v>1</v>
      </c>
      <c r="C3" s="4" t="s">
        <v>27</v>
      </c>
      <c r="D3" s="4"/>
      <c r="E3" s="4"/>
      <c r="F3" s="4">
        <v>20</v>
      </c>
      <c r="G3" s="4" t="s">
        <v>404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405</v>
      </c>
      <c r="B4" s="4">
        <v>1</v>
      </c>
      <c r="C4" s="4" t="s">
        <v>27</v>
      </c>
      <c r="D4" s="4"/>
      <c r="E4" s="4"/>
      <c r="F4" s="4">
        <v>29</v>
      </c>
      <c r="G4" s="4" t="s">
        <v>406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407</v>
      </c>
      <c r="B5" s="4">
        <v>1</v>
      </c>
      <c r="C5" s="4" t="s">
        <v>27</v>
      </c>
      <c r="D5" s="4"/>
      <c r="E5" s="4"/>
      <c r="F5" s="4">
        <v>28</v>
      </c>
      <c r="G5" s="4" t="s">
        <v>408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409</v>
      </c>
      <c r="B6" s="4">
        <v>2</v>
      </c>
      <c r="C6" s="4" t="s">
        <v>27</v>
      </c>
      <c r="D6" s="4"/>
      <c r="E6" s="4"/>
      <c r="F6" s="4">
        <v>28.5</v>
      </c>
      <c r="G6" s="4" t="s">
        <v>410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411</v>
      </c>
      <c r="B7" s="4">
        <v>1</v>
      </c>
      <c r="C7" s="4" t="s">
        <v>27</v>
      </c>
      <c r="D7" s="4"/>
      <c r="E7" s="4"/>
      <c r="F7" s="4">
        <v>24</v>
      </c>
      <c r="G7" s="4" t="s">
        <v>412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413</v>
      </c>
      <c r="B8" s="4">
        <v>1</v>
      </c>
      <c r="C8" s="4" t="s">
        <v>27</v>
      </c>
      <c r="D8" s="4"/>
      <c r="E8" s="4"/>
      <c r="F8" s="4">
        <v>52</v>
      </c>
      <c r="G8" s="4" t="s">
        <v>414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415</v>
      </c>
      <c r="B9" s="4">
        <v>1</v>
      </c>
      <c r="C9" s="4" t="s">
        <v>27</v>
      </c>
      <c r="D9" s="4"/>
      <c r="E9" s="4"/>
      <c r="F9" s="4">
        <v>30</v>
      </c>
      <c r="G9" s="4" t="s">
        <v>416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417</v>
      </c>
      <c r="B10" s="4">
        <v>1</v>
      </c>
      <c r="C10" s="4" t="s">
        <v>27</v>
      </c>
      <c r="D10" s="4"/>
      <c r="E10" s="4"/>
      <c r="F10" s="4">
        <v>25</v>
      </c>
      <c r="G10" s="4" t="s">
        <v>418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419</v>
      </c>
      <c r="B11" s="4">
        <v>2</v>
      </c>
      <c r="C11" s="4" t="s">
        <v>27</v>
      </c>
      <c r="D11" s="4"/>
      <c r="E11" s="4"/>
      <c r="F11" s="4">
        <v>15</v>
      </c>
      <c r="G11" s="4" t="s">
        <v>420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421</v>
      </c>
      <c r="B12" s="4">
        <v>1</v>
      </c>
      <c r="C12" s="4" t="s">
        <v>27</v>
      </c>
      <c r="D12" s="4"/>
      <c r="E12" s="4"/>
      <c r="F12" s="4">
        <v>19</v>
      </c>
      <c r="G12" s="4" t="s">
        <v>422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423</v>
      </c>
      <c r="B13" s="4">
        <v>1</v>
      </c>
      <c r="C13" s="4" t="s">
        <v>27</v>
      </c>
      <c r="D13" s="4"/>
      <c r="E13" s="4"/>
      <c r="F13" s="4">
        <v>20</v>
      </c>
      <c r="G13" s="4" t="s">
        <v>424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425</v>
      </c>
      <c r="B14" s="4">
        <v>3</v>
      </c>
      <c r="C14" s="4" t="s">
        <v>27</v>
      </c>
      <c r="D14" s="4"/>
      <c r="E14" s="4"/>
      <c r="F14" s="4">
        <v>24</v>
      </c>
      <c r="G14" s="4" t="s">
        <v>426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427</v>
      </c>
      <c r="B15" s="4">
        <v>1</v>
      </c>
      <c r="C15" s="4" t="s">
        <v>27</v>
      </c>
      <c r="D15" s="4"/>
      <c r="E15" s="4"/>
      <c r="F15" s="4">
        <v>25</v>
      </c>
      <c r="G15" s="4" t="s">
        <v>428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429</v>
      </c>
      <c r="B16" s="4">
        <v>1</v>
      </c>
      <c r="C16" s="4" t="s">
        <v>27</v>
      </c>
      <c r="D16" s="4"/>
      <c r="E16" s="4"/>
      <c r="F16" s="4">
        <v>25</v>
      </c>
      <c r="G16" s="4" t="s">
        <v>430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431</v>
      </c>
      <c r="B17" s="4">
        <v>3</v>
      </c>
      <c r="C17" s="4" t="s">
        <v>27</v>
      </c>
      <c r="D17" s="4"/>
      <c r="E17" s="4"/>
      <c r="F17" s="4">
        <v>22</v>
      </c>
      <c r="G17" s="4" t="s">
        <v>432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433</v>
      </c>
      <c r="B18" s="4">
        <v>1</v>
      </c>
      <c r="C18" s="4" t="s">
        <v>27</v>
      </c>
      <c r="D18" s="4"/>
      <c r="E18" s="4"/>
      <c r="F18" s="4">
        <v>49.5</v>
      </c>
      <c r="G18" s="4" t="s">
        <v>434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435</v>
      </c>
      <c r="B19" s="4">
        <v>1</v>
      </c>
      <c r="C19" s="4" t="s">
        <v>27</v>
      </c>
      <c r="D19" s="4"/>
      <c r="E19" s="4"/>
      <c r="F19" s="4">
        <v>25</v>
      </c>
      <c r="G19" s="4" t="s">
        <v>436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437</v>
      </c>
      <c r="B20" s="4">
        <v>1</v>
      </c>
      <c r="C20" s="4" t="s">
        <v>27</v>
      </c>
      <c r="D20" s="4"/>
      <c r="E20" s="4"/>
      <c r="F20" s="4">
        <v>29</v>
      </c>
      <c r="G20" s="4" t="s">
        <v>438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439</v>
      </c>
      <c r="B21" s="4">
        <v>1</v>
      </c>
      <c r="C21" s="4" t="s">
        <v>27</v>
      </c>
      <c r="D21" s="4"/>
      <c r="E21" s="4"/>
      <c r="F21" s="4">
        <v>30</v>
      </c>
      <c r="G21" s="4" t="s">
        <v>440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441</v>
      </c>
      <c r="B22" s="4">
        <v>1</v>
      </c>
      <c r="C22" s="4" t="s">
        <v>27</v>
      </c>
      <c r="D22" s="4"/>
      <c r="E22" s="4"/>
      <c r="F22" s="4">
        <v>29.1</v>
      </c>
      <c r="G22" s="4" t="s">
        <v>442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443</v>
      </c>
      <c r="B23" s="4">
        <v>1</v>
      </c>
      <c r="C23" s="4" t="s">
        <v>27</v>
      </c>
      <c r="D23" s="4"/>
      <c r="E23" s="4"/>
      <c r="F23" s="4">
        <v>22</v>
      </c>
      <c r="G23" s="4" t="s">
        <v>444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445</v>
      </c>
      <c r="B24" s="4">
        <v>1</v>
      </c>
      <c r="C24" s="4" t="s">
        <v>27</v>
      </c>
      <c r="D24" s="4"/>
      <c r="E24" s="4"/>
      <c r="F24" s="4">
        <v>29.9</v>
      </c>
      <c r="G24" s="4" t="s">
        <v>446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447</v>
      </c>
      <c r="B25" s="4">
        <v>1</v>
      </c>
      <c r="C25" s="4" t="s">
        <v>27</v>
      </c>
      <c r="D25" s="4"/>
      <c r="E25" s="4"/>
      <c r="F25" s="4">
        <v>29.9</v>
      </c>
      <c r="G25" s="4" t="s">
        <v>448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449</v>
      </c>
      <c r="B26" s="4">
        <v>1</v>
      </c>
      <c r="C26" s="4" t="s">
        <v>27</v>
      </c>
      <c r="D26" s="4"/>
      <c r="E26" s="4"/>
      <c r="F26" s="4">
        <v>19.5</v>
      </c>
      <c r="G26" s="4" t="s">
        <v>450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451</v>
      </c>
      <c r="B27" s="4">
        <v>1</v>
      </c>
      <c r="C27" s="4" t="s">
        <v>27</v>
      </c>
      <c r="D27" s="4"/>
      <c r="E27" s="4"/>
      <c r="F27" s="4">
        <v>14</v>
      </c>
      <c r="G27" s="4" t="s">
        <v>452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453</v>
      </c>
      <c r="B28" s="4">
        <v>1</v>
      </c>
      <c r="C28" s="4" t="s">
        <v>27</v>
      </c>
      <c r="D28" s="4"/>
      <c r="E28" s="4"/>
      <c r="F28" s="4">
        <v>13</v>
      </c>
      <c r="G28" s="4" t="s">
        <v>454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455</v>
      </c>
      <c r="B29" s="4">
        <v>1</v>
      </c>
      <c r="C29" s="4" t="s">
        <v>27</v>
      </c>
      <c r="D29" s="4"/>
      <c r="E29" s="4"/>
      <c r="F29" s="4">
        <v>27.5</v>
      </c>
      <c r="G29" s="4" t="s">
        <v>456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457</v>
      </c>
      <c r="B30" s="4">
        <v>10</v>
      </c>
      <c r="C30" s="4" t="s">
        <v>27</v>
      </c>
      <c r="D30" s="4"/>
      <c r="E30" s="4"/>
      <c r="F30" s="4">
        <v>5</v>
      </c>
      <c r="G30" s="4" t="s">
        <v>458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459</v>
      </c>
      <c r="B31" s="4">
        <v>111</v>
      </c>
      <c r="C31" s="4" t="s">
        <v>27</v>
      </c>
      <c r="D31" s="4"/>
      <c r="E31" s="4"/>
      <c r="F31" s="4">
        <v>4.7</v>
      </c>
      <c r="G31" s="4" t="s">
        <v>460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461</v>
      </c>
      <c r="B32" s="4">
        <v>35</v>
      </c>
      <c r="C32" s="4" t="s">
        <v>27</v>
      </c>
      <c r="D32" s="4"/>
      <c r="E32" s="4"/>
      <c r="F32" s="4">
        <v>7.5</v>
      </c>
      <c r="G32" s="4" t="s">
        <v>462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463</v>
      </c>
      <c r="B33" s="4">
        <v>50</v>
      </c>
      <c r="C33" s="4" t="s">
        <v>27</v>
      </c>
      <c r="D33" s="4"/>
      <c r="E33" s="4"/>
      <c r="F33" s="4">
        <v>10.5</v>
      </c>
      <c r="G33" s="4" t="s">
        <v>464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465</v>
      </c>
      <c r="B34" s="4">
        <v>23</v>
      </c>
      <c r="C34" s="4" t="s">
        <v>27</v>
      </c>
      <c r="D34" s="4"/>
      <c r="E34" s="4"/>
      <c r="F34" s="4">
        <v>21</v>
      </c>
      <c r="G34" s="4" t="s">
        <v>348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466</v>
      </c>
      <c r="B35" s="4">
        <v>1</v>
      </c>
      <c r="C35" s="4" t="s">
        <v>27</v>
      </c>
      <c r="D35" s="4"/>
      <c r="E35" s="4"/>
      <c r="F35" s="4">
        <v>76</v>
      </c>
      <c r="G35" s="4" t="s">
        <v>467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468</v>
      </c>
      <c r="B36" s="4">
        <v>1</v>
      </c>
      <c r="C36" s="4" t="s">
        <v>27</v>
      </c>
      <c r="D36" s="4"/>
      <c r="E36" s="4"/>
      <c r="F36" s="4">
        <v>12</v>
      </c>
      <c r="G36" s="4" t="s">
        <v>469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470</v>
      </c>
      <c r="B37" s="4">
        <v>1</v>
      </c>
      <c r="C37" s="4" t="s">
        <v>27</v>
      </c>
      <c r="D37" s="4"/>
      <c r="E37" s="4"/>
      <c r="F37" s="4">
        <v>10</v>
      </c>
      <c r="G37" s="4" t="s">
        <v>471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472</v>
      </c>
      <c r="B38" s="4">
        <v>1</v>
      </c>
      <c r="C38" s="4" t="s">
        <v>27</v>
      </c>
      <c r="D38" s="4"/>
      <c r="E38" s="4"/>
      <c r="F38" s="4">
        <v>50</v>
      </c>
      <c r="G38" s="4" t="s">
        <v>473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474</v>
      </c>
      <c r="B39" s="4">
        <v>1</v>
      </c>
      <c r="C39" s="4" t="s">
        <v>27</v>
      </c>
      <c r="D39" s="4"/>
      <c r="E39" s="4"/>
      <c r="F39" s="4">
        <v>67</v>
      </c>
      <c r="G39" s="4" t="s">
        <v>475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476</v>
      </c>
      <c r="B40" s="4">
        <v>1</v>
      </c>
      <c r="C40" s="4" t="s">
        <v>27</v>
      </c>
      <c r="D40" s="4"/>
      <c r="E40" s="4"/>
      <c r="F40" s="4">
        <v>12</v>
      </c>
      <c r="G40" s="4" t="s">
        <v>477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478</v>
      </c>
      <c r="B41" s="4">
        <v>1</v>
      </c>
      <c r="C41" s="4" t="s">
        <v>27</v>
      </c>
      <c r="D41" s="4"/>
      <c r="E41" s="4"/>
      <c r="F41" s="4">
        <v>13</v>
      </c>
      <c r="G41" s="4" t="s">
        <v>479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480</v>
      </c>
      <c r="B42" s="4">
        <v>1</v>
      </c>
      <c r="C42" s="4" t="s">
        <v>27</v>
      </c>
      <c r="D42" s="4"/>
      <c r="E42" s="4"/>
      <c r="F42" s="4">
        <v>100</v>
      </c>
      <c r="G42" s="4" t="s">
        <v>481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482</v>
      </c>
      <c r="B43" s="4">
        <v>1</v>
      </c>
      <c r="C43" s="4" t="s">
        <v>27</v>
      </c>
      <c r="D43" s="4"/>
      <c r="E43" s="4"/>
      <c r="F43" s="4">
        <v>18</v>
      </c>
      <c r="G43" s="4" t="s">
        <v>483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484</v>
      </c>
      <c r="B44" s="4">
        <v>1</v>
      </c>
      <c r="C44" s="4" t="s">
        <v>27</v>
      </c>
      <c r="D44" s="4"/>
      <c r="E44" s="4"/>
      <c r="F44" s="4">
        <v>67.5</v>
      </c>
      <c r="G44" s="4" t="s">
        <v>485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486</v>
      </c>
      <c r="B45" s="4">
        <v>1</v>
      </c>
      <c r="C45" s="4" t="s">
        <v>27</v>
      </c>
      <c r="D45" s="4"/>
      <c r="E45" s="4"/>
      <c r="F45" s="4">
        <v>12</v>
      </c>
      <c r="G45" s="4" t="s">
        <v>487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488</v>
      </c>
      <c r="B46" s="4">
        <v>1</v>
      </c>
      <c r="C46" s="4" t="s">
        <v>27</v>
      </c>
      <c r="D46" s="4"/>
      <c r="E46" s="4"/>
      <c r="F46" s="4">
        <v>35</v>
      </c>
      <c r="G46" s="4" t="s">
        <v>489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490</v>
      </c>
      <c r="B47" s="4">
        <v>1</v>
      </c>
      <c r="C47" s="4" t="s">
        <v>27</v>
      </c>
      <c r="D47" s="4"/>
      <c r="E47" s="4"/>
      <c r="F47" s="4">
        <v>34.5</v>
      </c>
      <c r="G47" s="4" t="s">
        <v>491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492</v>
      </c>
      <c r="B48" s="4">
        <v>3</v>
      </c>
      <c r="C48" s="4" t="s">
        <v>27</v>
      </c>
      <c r="D48" s="4"/>
      <c r="E48" s="4"/>
      <c r="F48" s="4">
        <v>35</v>
      </c>
      <c r="G48" s="4" t="s">
        <v>493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494</v>
      </c>
      <c r="B49" s="4">
        <v>1</v>
      </c>
      <c r="C49" s="4" t="s">
        <v>27</v>
      </c>
      <c r="D49" s="4"/>
      <c r="E49" s="4"/>
      <c r="F49" s="4">
        <v>14</v>
      </c>
      <c r="G49" s="4" t="s">
        <v>495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496</v>
      </c>
      <c r="B50" s="4">
        <v>1</v>
      </c>
      <c r="C50" s="4" t="s">
        <v>27</v>
      </c>
      <c r="D50" s="4"/>
      <c r="E50" s="4"/>
      <c r="F50" s="4">
        <v>16</v>
      </c>
      <c r="G50" s="4" t="s">
        <v>497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498</v>
      </c>
      <c r="B51" s="4">
        <v>1</v>
      </c>
      <c r="C51" s="4" t="s">
        <v>27</v>
      </c>
      <c r="D51" s="4"/>
      <c r="E51" s="4"/>
      <c r="F51" s="4">
        <v>29.5</v>
      </c>
      <c r="G51" s="4" t="s">
        <v>499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500</v>
      </c>
      <c r="B52" s="4">
        <v>1</v>
      </c>
      <c r="C52" s="4" t="s">
        <v>27</v>
      </c>
      <c r="D52" s="4"/>
      <c r="E52" s="4"/>
      <c r="F52" s="4">
        <v>218</v>
      </c>
      <c r="G52" s="4" t="s">
        <v>501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502</v>
      </c>
      <c r="B53" s="4">
        <v>1</v>
      </c>
      <c r="C53" s="4" t="s">
        <v>27</v>
      </c>
      <c r="D53" s="4"/>
      <c r="E53" s="4"/>
      <c r="F53" s="4">
        <v>28</v>
      </c>
      <c r="G53" s="4" t="s">
        <v>503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504</v>
      </c>
      <c r="B54" s="4">
        <v>1</v>
      </c>
      <c r="C54" s="4" t="s">
        <v>27</v>
      </c>
      <c r="D54" s="4"/>
      <c r="E54" s="4"/>
      <c r="F54" s="4">
        <v>36</v>
      </c>
      <c r="G54" s="4" t="s">
        <v>505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506</v>
      </c>
      <c r="B55" s="4">
        <v>1</v>
      </c>
      <c r="C55" s="4" t="s">
        <v>27</v>
      </c>
      <c r="D55" s="4"/>
      <c r="E55" s="4"/>
      <c r="F55" s="4">
        <v>180</v>
      </c>
      <c r="G55" s="4" t="s">
        <v>507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508</v>
      </c>
      <c r="B56" s="4">
        <v>1</v>
      </c>
      <c r="C56" s="4" t="s">
        <v>27</v>
      </c>
      <c r="D56" s="4"/>
      <c r="E56" s="4"/>
      <c r="F56" s="4">
        <v>17.5</v>
      </c>
      <c r="G56" s="4" t="s">
        <v>509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510</v>
      </c>
      <c r="B57" s="4">
        <v>3</v>
      </c>
      <c r="C57" s="4" t="s">
        <v>27</v>
      </c>
      <c r="D57" s="4"/>
      <c r="E57" s="4"/>
      <c r="F57" s="4">
        <v>15</v>
      </c>
      <c r="G57" s="4" t="s">
        <v>511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512</v>
      </c>
      <c r="B58" s="4">
        <v>3</v>
      </c>
      <c r="C58" s="4" t="s">
        <v>27</v>
      </c>
      <c r="D58" s="4"/>
      <c r="E58" s="4"/>
      <c r="F58" s="4">
        <v>18</v>
      </c>
      <c r="G58" s="4" t="s">
        <v>513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514</v>
      </c>
      <c r="B59" s="4">
        <v>1</v>
      </c>
      <c r="C59" s="4" t="s">
        <v>27</v>
      </c>
      <c r="D59" s="4"/>
      <c r="E59" s="4"/>
      <c r="F59" s="4">
        <v>34.9</v>
      </c>
      <c r="G59" s="4" t="s">
        <v>515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516</v>
      </c>
      <c r="B60" s="4">
        <v>1</v>
      </c>
      <c r="C60" s="4" t="s">
        <v>27</v>
      </c>
      <c r="D60" s="4"/>
      <c r="E60" s="4"/>
      <c r="F60" s="4">
        <v>29.9</v>
      </c>
      <c r="G60" s="4" t="s">
        <v>517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518</v>
      </c>
      <c r="B61" s="4">
        <v>2</v>
      </c>
      <c r="C61" s="4" t="s">
        <v>27</v>
      </c>
      <c r="D61" s="4"/>
      <c r="E61" s="4"/>
      <c r="F61" s="4">
        <v>25</v>
      </c>
      <c r="G61" s="4" t="s">
        <v>519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520</v>
      </c>
      <c r="B62" s="4">
        <v>2</v>
      </c>
      <c r="C62" s="4" t="s">
        <v>27</v>
      </c>
      <c r="D62" s="4"/>
      <c r="E62" s="4"/>
      <c r="F62" s="4">
        <v>273</v>
      </c>
      <c r="G62" s="4" t="s">
        <v>521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522</v>
      </c>
      <c r="B63" s="4">
        <v>7</v>
      </c>
      <c r="C63" s="4" t="s">
        <v>27</v>
      </c>
      <c r="D63" s="4"/>
      <c r="E63" s="4"/>
      <c r="F63" s="4">
        <v>29.7</v>
      </c>
      <c r="G63" s="4" t="s">
        <v>346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523</v>
      </c>
      <c r="B64" s="4">
        <v>3</v>
      </c>
      <c r="C64" s="4" t="s">
        <v>27</v>
      </c>
      <c r="D64" s="4"/>
      <c r="E64" s="4"/>
      <c r="F64" s="4">
        <v>13.5</v>
      </c>
      <c r="G64" s="4" t="s">
        <v>524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525</v>
      </c>
      <c r="B65" s="4">
        <v>1</v>
      </c>
      <c r="C65" s="4" t="s">
        <v>27</v>
      </c>
      <c r="D65" s="4"/>
      <c r="E65" s="4"/>
      <c r="F65" s="4">
        <v>30.1</v>
      </c>
      <c r="G65" s="4" t="s">
        <v>526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527</v>
      </c>
      <c r="B66" s="4">
        <v>1</v>
      </c>
      <c r="C66" s="4" t="s">
        <v>27</v>
      </c>
      <c r="D66" s="4"/>
      <c r="E66" s="4"/>
      <c r="F66" s="4">
        <v>29.6</v>
      </c>
      <c r="G66" s="4" t="s">
        <v>528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529</v>
      </c>
      <c r="B67" s="4">
        <v>1</v>
      </c>
      <c r="C67" s="4" t="s">
        <v>27</v>
      </c>
      <c r="D67" s="4"/>
      <c r="E67" s="4"/>
      <c r="F67" s="4">
        <v>19.5</v>
      </c>
      <c r="G67" s="4" t="s">
        <v>530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531</v>
      </c>
      <c r="B68" s="4">
        <v>1</v>
      </c>
      <c r="C68" s="4" t="s">
        <v>27</v>
      </c>
      <c r="D68" s="4"/>
      <c r="E68" s="4"/>
      <c r="F68" s="4">
        <v>40</v>
      </c>
      <c r="G68" s="4" t="s">
        <v>532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533</v>
      </c>
      <c r="B69" s="4">
        <v>1</v>
      </c>
      <c r="C69" s="4" t="s">
        <v>27</v>
      </c>
      <c r="D69" s="4"/>
      <c r="E69" s="4"/>
      <c r="F69" s="4">
        <v>100</v>
      </c>
      <c r="G69" s="4" t="s">
        <v>534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535</v>
      </c>
      <c r="B70" s="4">
        <v>1</v>
      </c>
      <c r="C70" s="4" t="s">
        <v>27</v>
      </c>
      <c r="D70" s="4"/>
      <c r="E70" s="4"/>
      <c r="F70" s="4">
        <v>45</v>
      </c>
      <c r="G70" s="4" t="s">
        <v>536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537</v>
      </c>
      <c r="B71" s="4">
        <v>1</v>
      </c>
      <c r="C71" s="4" t="s">
        <v>27</v>
      </c>
      <c r="D71" s="4"/>
      <c r="E71" s="4"/>
      <c r="F71" s="4">
        <v>250</v>
      </c>
      <c r="G71" s="4" t="s">
        <v>538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539</v>
      </c>
      <c r="B72" s="4">
        <v>1</v>
      </c>
      <c r="C72" s="4" t="s">
        <v>27</v>
      </c>
      <c r="D72" s="4"/>
      <c r="E72" s="4"/>
      <c r="F72" s="4">
        <v>19.5</v>
      </c>
      <c r="G72" s="4" t="s">
        <v>540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541</v>
      </c>
      <c r="B73" s="4">
        <v>1</v>
      </c>
      <c r="C73" s="4" t="s">
        <v>27</v>
      </c>
      <c r="D73" s="4"/>
      <c r="E73" s="4"/>
      <c r="F73" s="4">
        <v>40</v>
      </c>
      <c r="G73" s="4" t="s">
        <v>542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543</v>
      </c>
      <c r="B74" s="4">
        <v>1</v>
      </c>
      <c r="C74" s="4" t="s">
        <v>27</v>
      </c>
      <c r="D74" s="4"/>
      <c r="E74" s="4"/>
      <c r="F74" s="4">
        <v>57.5</v>
      </c>
      <c r="G74" s="4" t="s">
        <v>544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545</v>
      </c>
      <c r="B75" s="4">
        <v>0</v>
      </c>
      <c r="C75" s="4" t="s">
        <v>27</v>
      </c>
      <c r="D75" s="4"/>
      <c r="E75" s="4"/>
      <c r="F75" s="4">
        <v>37</v>
      </c>
      <c r="G75" s="4" t="s">
        <v>546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547</v>
      </c>
      <c r="B76" s="4">
        <v>1</v>
      </c>
      <c r="C76" s="4" t="s">
        <v>27</v>
      </c>
      <c r="D76" s="4"/>
      <c r="E76" s="4"/>
      <c r="F76" s="4">
        <v>23.5</v>
      </c>
      <c r="G76" s="4" t="s">
        <v>548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549</v>
      </c>
      <c r="B77" s="4">
        <v>6</v>
      </c>
      <c r="C77" s="4" t="s">
        <v>27</v>
      </c>
      <c r="D77" s="4"/>
      <c r="E77" s="4"/>
      <c r="F77" s="4">
        <v>10</v>
      </c>
      <c r="G77" s="4" t="s">
        <v>550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551</v>
      </c>
      <c r="B78" s="4">
        <v>4</v>
      </c>
      <c r="C78" s="4" t="s">
        <v>27</v>
      </c>
      <c r="D78" s="4"/>
      <c r="E78" s="4"/>
      <c r="F78" s="4">
        <v>43</v>
      </c>
      <c r="G78" s="4" t="s">
        <v>552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553</v>
      </c>
      <c r="B79" s="4">
        <v>1</v>
      </c>
      <c r="C79" s="4" t="s">
        <v>27</v>
      </c>
      <c r="D79" s="4"/>
      <c r="E79" s="4"/>
      <c r="F79" s="4">
        <v>15</v>
      </c>
      <c r="G79" s="4" t="s">
        <v>554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555</v>
      </c>
      <c r="B80" s="4">
        <v>3</v>
      </c>
      <c r="C80" s="4" t="s">
        <v>27</v>
      </c>
      <c r="D80" s="4"/>
      <c r="E80" s="4"/>
      <c r="F80" s="4">
        <v>20</v>
      </c>
      <c r="G80" s="4" t="s">
        <v>556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557</v>
      </c>
      <c r="B81" s="4">
        <v>1</v>
      </c>
      <c r="C81" s="4" t="s">
        <v>27</v>
      </c>
      <c r="D81" s="4"/>
      <c r="E81" s="4"/>
      <c r="F81" s="4">
        <v>52.5</v>
      </c>
      <c r="G81" s="4" t="s">
        <v>558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559</v>
      </c>
      <c r="B82" s="4">
        <v>1</v>
      </c>
      <c r="C82" s="4" t="s">
        <v>27</v>
      </c>
      <c r="D82" s="4"/>
      <c r="E82" s="4"/>
      <c r="F82" s="4">
        <v>22.5</v>
      </c>
      <c r="G82" s="4" t="s">
        <v>560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561</v>
      </c>
      <c r="B83" s="4">
        <v>1</v>
      </c>
      <c r="C83" s="4" t="s">
        <v>27</v>
      </c>
      <c r="D83" s="4"/>
      <c r="E83" s="4"/>
      <c r="F83" s="4">
        <v>35.5</v>
      </c>
      <c r="G83" s="4" t="s">
        <v>562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563</v>
      </c>
      <c r="B84" s="4">
        <v>1</v>
      </c>
      <c r="C84" s="4" t="s">
        <v>27</v>
      </c>
      <c r="D84" s="4"/>
      <c r="E84" s="4"/>
      <c r="F84" s="4">
        <v>35.5</v>
      </c>
      <c r="G84" s="4" t="s">
        <v>564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565</v>
      </c>
      <c r="B85" s="4">
        <v>1</v>
      </c>
      <c r="C85" s="4" t="s">
        <v>27</v>
      </c>
      <c r="D85" s="4"/>
      <c r="E85" s="4"/>
      <c r="F85" s="4">
        <v>18</v>
      </c>
      <c r="G85" s="4" t="s">
        <v>566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567</v>
      </c>
      <c r="B86" s="4">
        <v>2</v>
      </c>
      <c r="C86" s="4" t="s">
        <v>27</v>
      </c>
      <c r="D86" s="4"/>
      <c r="E86" s="4"/>
      <c r="F86" s="4">
        <v>21</v>
      </c>
      <c r="G86" s="4" t="s">
        <v>568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569</v>
      </c>
      <c r="B87" s="4">
        <v>1</v>
      </c>
      <c r="C87" s="4"/>
      <c r="D87" s="4">
        <v>0</v>
      </c>
      <c r="E87" s="4" t="s">
        <v>102</v>
      </c>
      <c r="F87" s="4">
        <v>0</v>
      </c>
      <c r="G87" s="4" t="s">
        <v>570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571</v>
      </c>
      <c r="B88" s="4">
        <v>1</v>
      </c>
      <c r="C88" s="4"/>
      <c r="D88" s="4">
        <v>0</v>
      </c>
      <c r="E88" s="4" t="s">
        <v>102</v>
      </c>
      <c r="F88" s="4">
        <v>0</v>
      </c>
      <c r="G88" s="4" t="s">
        <v>572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573</v>
      </c>
      <c r="B89" s="4">
        <v>1</v>
      </c>
      <c r="C89" s="4"/>
      <c r="D89" s="4">
        <v>0</v>
      </c>
      <c r="E89" s="4" t="s">
        <v>102</v>
      </c>
      <c r="F89" s="4">
        <v>0</v>
      </c>
      <c r="G89" s="4" t="s">
        <v>574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575</v>
      </c>
      <c r="B90" s="4">
        <v>1</v>
      </c>
      <c r="C90" s="4"/>
      <c r="D90" s="4">
        <v>0</v>
      </c>
      <c r="E90" s="4" t="s">
        <v>102</v>
      </c>
      <c r="F90" s="4">
        <v>0</v>
      </c>
      <c r="G90" s="4" t="s">
        <v>576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577</v>
      </c>
      <c r="B91" s="4">
        <v>4</v>
      </c>
      <c r="C91" s="4"/>
      <c r="D91" s="4">
        <v>0</v>
      </c>
      <c r="E91" s="4" t="s">
        <v>102</v>
      </c>
      <c r="F91" s="4">
        <v>0</v>
      </c>
      <c r="G91" s="4" t="s">
        <v>578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579</v>
      </c>
      <c r="B92" s="4">
        <v>1</v>
      </c>
      <c r="C92" s="4"/>
      <c r="D92" s="4">
        <v>0</v>
      </c>
      <c r="E92" s="4" t="s">
        <v>102</v>
      </c>
      <c r="F92" s="4">
        <v>0</v>
      </c>
      <c r="G92" s="4" t="s">
        <v>580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581</v>
      </c>
      <c r="B93" s="4">
        <v>1</v>
      </c>
      <c r="C93" s="4"/>
      <c r="D93" s="4">
        <v>0</v>
      </c>
      <c r="E93" s="4" t="s">
        <v>102</v>
      </c>
      <c r="F93" s="4">
        <v>0</v>
      </c>
      <c r="G93" s="4" t="s">
        <v>582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583</v>
      </c>
      <c r="B94" s="4">
        <v>2</v>
      </c>
      <c r="C94" s="4"/>
      <c r="D94" s="4">
        <v>0</v>
      </c>
      <c r="E94" s="4" t="s">
        <v>102</v>
      </c>
      <c r="F94" s="4">
        <v>0</v>
      </c>
      <c r="G94" s="4" t="s">
        <v>584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585</v>
      </c>
      <c r="B95" s="4">
        <v>1</v>
      </c>
      <c r="C95" s="4"/>
      <c r="D95" s="4">
        <v>0</v>
      </c>
      <c r="E95" s="4" t="s">
        <v>102</v>
      </c>
      <c r="F95" s="4">
        <v>0</v>
      </c>
      <c r="G95" s="4" t="s">
        <v>586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587</v>
      </c>
      <c r="B96" s="4">
        <v>1</v>
      </c>
      <c r="C96" s="4"/>
      <c r="D96" s="4">
        <v>0</v>
      </c>
      <c r="E96" s="4" t="s">
        <v>102</v>
      </c>
      <c r="F96" s="4">
        <v>0</v>
      </c>
      <c r="G96" s="4" t="s">
        <v>588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589</v>
      </c>
      <c r="B97" s="4">
        <v>1</v>
      </c>
      <c r="C97" s="4"/>
      <c r="D97" s="4">
        <v>0</v>
      </c>
      <c r="E97" s="4" t="s">
        <v>102</v>
      </c>
      <c r="F97" s="4">
        <v>0</v>
      </c>
      <c r="G97" s="4" t="s">
        <v>590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591</v>
      </c>
      <c r="B98" s="4">
        <v>1</v>
      </c>
      <c r="C98" s="4"/>
      <c r="D98" s="4">
        <v>0</v>
      </c>
      <c r="E98" s="4" t="s">
        <v>102</v>
      </c>
      <c r="F98" s="4">
        <v>0</v>
      </c>
      <c r="G98" s="4" t="s">
        <v>592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593</v>
      </c>
      <c r="B99" s="4">
        <v>1</v>
      </c>
      <c r="C99" s="4"/>
      <c r="D99" s="4">
        <v>0</v>
      </c>
      <c r="E99" s="4" t="s">
        <v>102</v>
      </c>
      <c r="F99" s="4">
        <v>0</v>
      </c>
      <c r="G99" s="4" t="s">
        <v>594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595</v>
      </c>
      <c r="B100" s="4">
        <v>1</v>
      </c>
      <c r="C100" s="4"/>
      <c r="D100" s="4">
        <v>0</v>
      </c>
      <c r="E100" s="4" t="s">
        <v>102</v>
      </c>
      <c r="F100" s="4">
        <v>0</v>
      </c>
      <c r="G100" s="4" t="s">
        <v>596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597</v>
      </c>
      <c r="B101" s="4">
        <v>1</v>
      </c>
      <c r="C101" s="4"/>
      <c r="D101" s="4">
        <v>0</v>
      </c>
      <c r="E101" s="4" t="s">
        <v>102</v>
      </c>
      <c r="F101" s="4">
        <v>0</v>
      </c>
      <c r="G101" s="4" t="s">
        <v>598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599</v>
      </c>
      <c r="B102" s="4">
        <v>1</v>
      </c>
      <c r="C102" s="4"/>
      <c r="D102" s="4">
        <v>0</v>
      </c>
      <c r="E102" s="4" t="s">
        <v>102</v>
      </c>
      <c r="F102" s="4">
        <v>0</v>
      </c>
      <c r="G102" s="4" t="s">
        <v>600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601</v>
      </c>
      <c r="B103" s="4">
        <v>1</v>
      </c>
      <c r="C103" s="4"/>
      <c r="D103" s="4">
        <v>0</v>
      </c>
      <c r="E103" s="4" t="s">
        <v>102</v>
      </c>
      <c r="F103" s="4">
        <v>0</v>
      </c>
      <c r="G103" s="4" t="s">
        <v>602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603</v>
      </c>
      <c r="B104" s="4">
        <v>1</v>
      </c>
      <c r="C104" s="4"/>
      <c r="D104" s="4">
        <v>0</v>
      </c>
      <c r="E104" s="4" t="s">
        <v>102</v>
      </c>
      <c r="F104" s="4">
        <v>0</v>
      </c>
      <c r="G104" s="4" t="s">
        <v>604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605</v>
      </c>
      <c r="B105" s="4">
        <v>1</v>
      </c>
      <c r="C105" s="4"/>
      <c r="D105" s="4">
        <v>0</v>
      </c>
      <c r="E105" s="4" t="s">
        <v>102</v>
      </c>
      <c r="F105" s="4">
        <v>0</v>
      </c>
      <c r="G105" s="4" t="s">
        <v>606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607</v>
      </c>
      <c r="B106" s="4">
        <v>6</v>
      </c>
      <c r="C106" s="4"/>
      <c r="D106" s="4">
        <v>0</v>
      </c>
      <c r="E106" s="4" t="s">
        <v>102</v>
      </c>
      <c r="F106" s="4">
        <v>0</v>
      </c>
      <c r="G106" s="4" t="s">
        <v>608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609</v>
      </c>
      <c r="B107" s="4">
        <v>1</v>
      </c>
      <c r="C107" s="4"/>
      <c r="D107" s="4">
        <v>0</v>
      </c>
      <c r="E107" s="4" t="s">
        <v>102</v>
      </c>
      <c r="F107" s="4">
        <v>0</v>
      </c>
      <c r="G107" s="4" t="s">
        <v>610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611</v>
      </c>
      <c r="B108" s="4">
        <v>1</v>
      </c>
      <c r="C108" s="4"/>
      <c r="D108" s="4">
        <v>0</v>
      </c>
      <c r="E108" s="4" t="s">
        <v>102</v>
      </c>
      <c r="F108" s="4">
        <v>0</v>
      </c>
      <c r="G108" s="4" t="s">
        <v>612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613</v>
      </c>
      <c r="B109" s="4">
        <v>1</v>
      </c>
      <c r="C109" s="4"/>
      <c r="D109" s="4">
        <v>0</v>
      </c>
      <c r="E109" s="4" t="s">
        <v>102</v>
      </c>
      <c r="F109" s="4">
        <v>0</v>
      </c>
      <c r="G109" s="4" t="s">
        <v>614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615</v>
      </c>
      <c r="B110" s="4">
        <v>1</v>
      </c>
      <c r="C110" s="4"/>
      <c r="D110" s="4">
        <v>0</v>
      </c>
      <c r="E110" s="4" t="s">
        <v>102</v>
      </c>
      <c r="F110" s="4">
        <v>0</v>
      </c>
      <c r="G110" s="4" t="s">
        <v>616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617</v>
      </c>
      <c r="B111" s="4">
        <v>1</v>
      </c>
      <c r="C111" s="4"/>
      <c r="D111" s="4">
        <v>0</v>
      </c>
      <c r="E111" s="4" t="s">
        <v>102</v>
      </c>
      <c r="F111" s="4">
        <v>0</v>
      </c>
      <c r="G111" s="4" t="s">
        <v>618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619</v>
      </c>
      <c r="B112" s="4">
        <v>1</v>
      </c>
      <c r="C112" s="4"/>
      <c r="D112" s="4">
        <v>0</v>
      </c>
      <c r="E112" s="4" t="s">
        <v>102</v>
      </c>
      <c r="F112" s="4">
        <v>0</v>
      </c>
      <c r="G112" s="4" t="s">
        <v>620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621</v>
      </c>
      <c r="B113" s="4">
        <v>1</v>
      </c>
      <c r="C113" s="4"/>
      <c r="D113" s="4">
        <v>0</v>
      </c>
      <c r="E113" s="4" t="s">
        <v>102</v>
      </c>
      <c r="F113" s="4">
        <v>0</v>
      </c>
      <c r="G113" s="4" t="s">
        <v>622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623</v>
      </c>
      <c r="B114" s="4">
        <v>1</v>
      </c>
      <c r="C114" s="4"/>
      <c r="D114" s="4">
        <v>0</v>
      </c>
      <c r="E114" s="4" t="s">
        <v>102</v>
      </c>
      <c r="F114" s="4">
        <v>0</v>
      </c>
      <c r="G114" s="4" t="s">
        <v>624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625</v>
      </c>
      <c r="B115" s="4">
        <v>1</v>
      </c>
      <c r="C115" s="4"/>
      <c r="D115" s="4">
        <v>0</v>
      </c>
      <c r="E115" s="4" t="s">
        <v>102</v>
      </c>
      <c r="F115" s="4">
        <v>0</v>
      </c>
      <c r="G115" s="4" t="s">
        <v>626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627</v>
      </c>
      <c r="B116" s="4">
        <v>2</v>
      </c>
      <c r="C116" s="4"/>
      <c r="D116" s="4">
        <v>0</v>
      </c>
      <c r="E116" s="4" t="s">
        <v>102</v>
      </c>
      <c r="F116" s="4">
        <v>0</v>
      </c>
      <c r="G116" s="4" t="s">
        <v>628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102</v>
      </c>
      <c r="N116" s="4">
        <v>0</v>
      </c>
      <c r="O116" s="3">
        <f>=0</f>
      </c>
    </row>
    <row r="117" spans="1:15" x14ac:dyDescent="0.25">
      <c r="A117" s="2" t="s">
        <v>629</v>
      </c>
      <c r="B117" s="4">
        <v>6</v>
      </c>
      <c r="C117" s="4"/>
      <c r="D117" s="4">
        <v>0</v>
      </c>
      <c r="E117" s="4" t="s">
        <v>102</v>
      </c>
      <c r="F117" s="4">
        <v>0</v>
      </c>
      <c r="G117" s="4" t="s">
        <v>630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102</v>
      </c>
      <c r="N117" s="4">
        <v>0</v>
      </c>
      <c r="O117" s="3">
        <f>=0</f>
      </c>
    </row>
    <row r="118" spans="1:15" x14ac:dyDescent="0.25">
      <c r="A118" s="2" t="s">
        <v>631</v>
      </c>
      <c r="B118" s="4">
        <v>1</v>
      </c>
      <c r="C118" s="4"/>
      <c r="D118" s="4">
        <v>0</v>
      </c>
      <c r="E118" s="4" t="s">
        <v>102</v>
      </c>
      <c r="F118" s="4">
        <v>0</v>
      </c>
      <c r="G118" s="4" t="s">
        <v>632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102</v>
      </c>
      <c r="N118" s="4">
        <v>0</v>
      </c>
      <c r="O118" s="3">
        <f>=0</f>
      </c>
    </row>
    <row r="119" spans="1:15" x14ac:dyDescent="0.25">
      <c r="A119" s="2" t="s">
        <v>633</v>
      </c>
      <c r="B119" s="4">
        <v>4</v>
      </c>
      <c r="C119" s="4"/>
      <c r="D119" s="4">
        <v>0</v>
      </c>
      <c r="E119" s="4" t="s">
        <v>102</v>
      </c>
      <c r="F119" s="4">
        <v>0</v>
      </c>
      <c r="G119" s="4" t="s">
        <v>634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102</v>
      </c>
      <c r="N119" s="4">
        <v>0</v>
      </c>
      <c r="O119" s="3">
        <f>=0</f>
      </c>
    </row>
    <row r="120" spans="1:15" x14ac:dyDescent="0.25">
      <c r="A120" s="2" t="s">
        <v>635</v>
      </c>
      <c r="B120" s="4">
        <v>1</v>
      </c>
      <c r="C120" s="4"/>
      <c r="D120" s="4">
        <v>0</v>
      </c>
      <c r="E120" s="4" t="s">
        <v>102</v>
      </c>
      <c r="F120" s="4">
        <v>0</v>
      </c>
      <c r="G120" s="4" t="s">
        <v>636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637</v>
      </c>
      <c r="B121" s="4">
        <v>3</v>
      </c>
      <c r="C121" s="4"/>
      <c r="D121" s="4">
        <v>0</v>
      </c>
      <c r="E121" s="4" t="s">
        <v>102</v>
      </c>
      <c r="F121" s="4">
        <v>0</v>
      </c>
      <c r="G121" s="4" t="s">
        <v>638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102</v>
      </c>
      <c r="N121" s="4">
        <v>0</v>
      </c>
      <c r="O121" s="3">
        <f>=0</f>
      </c>
    </row>
    <row r="122" spans="1:15" x14ac:dyDescent="0.25">
      <c r="A122" s="2" t="s">
        <v>639</v>
      </c>
      <c r="B122" s="4">
        <v>1</v>
      </c>
      <c r="C122" s="4"/>
      <c r="D122" s="4">
        <v>0</v>
      </c>
      <c r="E122" s="4" t="s">
        <v>102</v>
      </c>
      <c r="F122" s="4">
        <v>0</v>
      </c>
      <c r="G122" s="4" t="s">
        <v>640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102</v>
      </c>
      <c r="N122" s="4">
        <v>0</v>
      </c>
      <c r="O122" s="3">
        <f>=0</f>
      </c>
    </row>
    <row r="123" spans="1:15" x14ac:dyDescent="0.25">
      <c r="A123" s="2" t="s">
        <v>641</v>
      </c>
      <c r="B123" s="4">
        <v>1</v>
      </c>
      <c r="C123" s="4"/>
      <c r="D123" s="4">
        <v>0</v>
      </c>
      <c r="E123" s="4" t="s">
        <v>102</v>
      </c>
      <c r="F123" s="4">
        <v>0</v>
      </c>
      <c r="G123" s="4" t="s">
        <v>642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643</v>
      </c>
      <c r="B124" s="4">
        <v>1</v>
      </c>
      <c r="C124" s="4"/>
      <c r="D124" s="4">
        <v>0</v>
      </c>
      <c r="E124" s="4" t="s">
        <v>102</v>
      </c>
      <c r="F124" s="4">
        <v>0</v>
      </c>
      <c r="G124" s="4" t="s">
        <v>644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645</v>
      </c>
      <c r="B125" s="4">
        <v>1</v>
      </c>
      <c r="C125" s="4"/>
      <c r="D125" s="4">
        <v>0</v>
      </c>
      <c r="E125" s="4" t="s">
        <v>102</v>
      </c>
      <c r="F125" s="4">
        <v>0</v>
      </c>
      <c r="G125" s="4" t="s">
        <v>646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647</v>
      </c>
      <c r="B126" s="4">
        <v>1</v>
      </c>
      <c r="C126" s="4"/>
      <c r="D126" s="4">
        <v>0</v>
      </c>
      <c r="E126" s="4" t="s">
        <v>102</v>
      </c>
      <c r="F126" s="4">
        <v>0</v>
      </c>
      <c r="G126" s="4" t="s">
        <v>648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649</v>
      </c>
      <c r="B127" s="4">
        <v>1</v>
      </c>
      <c r="C127" s="4"/>
      <c r="D127" s="4">
        <v>0</v>
      </c>
      <c r="E127" s="4" t="s">
        <v>102</v>
      </c>
      <c r="F127" s="4">
        <v>0</v>
      </c>
      <c r="G127" s="4" t="s">
        <v>650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651</v>
      </c>
      <c r="B128" s="4">
        <v>1</v>
      </c>
      <c r="C128" s="4"/>
      <c r="D128" s="4">
        <v>0</v>
      </c>
      <c r="E128" s="4" t="s">
        <v>102</v>
      </c>
      <c r="F128" s="4">
        <v>0</v>
      </c>
      <c r="G128" s="4" t="s">
        <v>652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653</v>
      </c>
      <c r="B129" s="4">
        <v>1</v>
      </c>
      <c r="C129" s="4"/>
      <c r="D129" s="4">
        <v>0</v>
      </c>
      <c r="E129" s="4" t="s">
        <v>102</v>
      </c>
      <c r="F129" s="4">
        <v>0</v>
      </c>
      <c r="G129" s="4" t="s">
        <v>654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655</v>
      </c>
      <c r="B130" s="4">
        <v>1</v>
      </c>
      <c r="C130" s="4"/>
      <c r="D130" s="4">
        <v>0</v>
      </c>
      <c r="E130" s="4" t="s">
        <v>102</v>
      </c>
      <c r="F130" s="4">
        <v>0</v>
      </c>
      <c r="G130" s="4" t="s">
        <v>656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657</v>
      </c>
      <c r="B131" s="4">
        <v>1</v>
      </c>
      <c r="C131" s="4"/>
      <c r="D131" s="4">
        <v>0</v>
      </c>
      <c r="E131" s="4" t="s">
        <v>102</v>
      </c>
      <c r="F131" s="4">
        <v>0</v>
      </c>
      <c r="G131" s="4" t="s">
        <v>658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659</v>
      </c>
      <c r="B132" s="4">
        <v>1</v>
      </c>
      <c r="C132" s="4"/>
      <c r="D132" s="4">
        <v>0</v>
      </c>
      <c r="E132" s="4" t="s">
        <v>102</v>
      </c>
      <c r="F132" s="4">
        <v>0</v>
      </c>
      <c r="G132" s="4" t="s">
        <v>660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661</v>
      </c>
      <c r="B133" s="4">
        <v>1</v>
      </c>
      <c r="C133" s="4"/>
      <c r="D133" s="4">
        <v>0</v>
      </c>
      <c r="E133" s="4" t="s">
        <v>102</v>
      </c>
      <c r="F133" s="4">
        <v>0</v>
      </c>
      <c r="G133" s="4" t="s">
        <v>662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663</v>
      </c>
      <c r="B134" s="4">
        <v>1</v>
      </c>
      <c r="C134" s="4"/>
      <c r="D134" s="4">
        <v>0</v>
      </c>
      <c r="E134" s="4" t="s">
        <v>102</v>
      </c>
      <c r="F134" s="4">
        <v>0</v>
      </c>
      <c r="G134" s="4" t="s">
        <v>664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665</v>
      </c>
      <c r="B135" s="4">
        <v>1</v>
      </c>
      <c r="C135" s="4"/>
      <c r="D135" s="4">
        <v>0</v>
      </c>
      <c r="E135" s="4" t="s">
        <v>102</v>
      </c>
      <c r="F135" s="4">
        <v>0</v>
      </c>
      <c r="G135" s="4" t="s">
        <v>666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667</v>
      </c>
      <c r="B136" s="4">
        <v>1</v>
      </c>
      <c r="C136" s="4"/>
      <c r="D136" s="4">
        <v>0</v>
      </c>
      <c r="E136" s="4" t="s">
        <v>102</v>
      </c>
      <c r="F136" s="4">
        <v>0</v>
      </c>
      <c r="G136" s="4" t="s">
        <v>668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669</v>
      </c>
      <c r="B137" s="4">
        <v>1</v>
      </c>
      <c r="C137" s="4"/>
      <c r="D137" s="4">
        <v>0</v>
      </c>
      <c r="E137" s="4" t="s">
        <v>102</v>
      </c>
      <c r="F137" s="4">
        <v>0</v>
      </c>
      <c r="G137" s="4" t="s">
        <v>670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671</v>
      </c>
      <c r="B138" s="4">
        <v>1</v>
      </c>
      <c r="C138" s="4"/>
      <c r="D138" s="4">
        <v>0</v>
      </c>
      <c r="E138" s="4" t="s">
        <v>102</v>
      </c>
      <c r="F138" s="4">
        <v>0</v>
      </c>
      <c r="G138" s="4" t="s">
        <v>672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673</v>
      </c>
      <c r="B139" s="4">
        <v>1</v>
      </c>
      <c r="C139" s="4"/>
      <c r="D139" s="4">
        <v>0</v>
      </c>
      <c r="E139" s="4" t="s">
        <v>102</v>
      </c>
      <c r="F139" s="4">
        <v>0</v>
      </c>
      <c r="G139" s="4" t="s">
        <v>674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675</v>
      </c>
      <c r="B140" s="4">
        <v>1</v>
      </c>
      <c r="C140" s="4"/>
      <c r="D140" s="4">
        <v>0</v>
      </c>
      <c r="E140" s="4" t="s">
        <v>102</v>
      </c>
      <c r="F140" s="4">
        <v>0</v>
      </c>
      <c r="G140" s="4" t="s">
        <v>676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677</v>
      </c>
      <c r="B141" s="4">
        <v>2</v>
      </c>
      <c r="C141" s="4"/>
      <c r="D141" s="4">
        <v>0</v>
      </c>
      <c r="E141" s="4" t="s">
        <v>102</v>
      </c>
      <c r="F141" s="4">
        <v>0</v>
      </c>
      <c r="G141" s="4" t="s">
        <v>678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679</v>
      </c>
      <c r="B142" s="4">
        <v>1</v>
      </c>
      <c r="C142" s="4"/>
      <c r="D142" s="4">
        <v>0</v>
      </c>
      <c r="E142" s="4" t="s">
        <v>102</v>
      </c>
      <c r="F142" s="4">
        <v>0</v>
      </c>
      <c r="G142" s="4" t="s">
        <v>680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681</v>
      </c>
      <c r="B143" s="4">
        <v>1</v>
      </c>
      <c r="C143" s="4"/>
      <c r="D143" s="4">
        <v>0</v>
      </c>
      <c r="E143" s="4" t="s">
        <v>102</v>
      </c>
      <c r="F143" s="4">
        <v>0</v>
      </c>
      <c r="G143" s="4" t="s">
        <v>682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683</v>
      </c>
      <c r="B144" s="4">
        <v>1</v>
      </c>
      <c r="C144" s="4"/>
      <c r="D144" s="4">
        <v>0</v>
      </c>
      <c r="E144" s="4" t="s">
        <v>102</v>
      </c>
      <c r="F144" s="4">
        <v>0</v>
      </c>
      <c r="G144" s="4" t="s">
        <v>684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685</v>
      </c>
      <c r="B145" s="4">
        <v>1</v>
      </c>
      <c r="C145" s="4"/>
      <c r="D145" s="4">
        <v>0</v>
      </c>
      <c r="E145" s="4" t="s">
        <v>102</v>
      </c>
      <c r="F145" s="4">
        <v>0</v>
      </c>
      <c r="G145" s="4" t="s">
        <v>686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687</v>
      </c>
      <c r="B146" s="4">
        <v>1</v>
      </c>
      <c r="C146" s="4"/>
      <c r="D146" s="4">
        <v>0</v>
      </c>
      <c r="E146" s="4" t="s">
        <v>102</v>
      </c>
      <c r="F146" s="4">
        <v>0</v>
      </c>
      <c r="G146" s="4" t="s">
        <v>688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689</v>
      </c>
      <c r="B147" s="4">
        <v>1</v>
      </c>
      <c r="C147" s="4"/>
      <c r="D147" s="4">
        <v>0</v>
      </c>
      <c r="E147" s="4" t="s">
        <v>102</v>
      </c>
      <c r="F147" s="4">
        <v>0</v>
      </c>
      <c r="G147" s="4" t="s">
        <v>690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691</v>
      </c>
      <c r="B148" s="4">
        <v>1</v>
      </c>
      <c r="C148" s="4"/>
      <c r="D148" s="4">
        <v>0</v>
      </c>
      <c r="E148" s="4" t="s">
        <v>102</v>
      </c>
      <c r="F148" s="4">
        <v>0</v>
      </c>
      <c r="G148" s="4" t="s">
        <v>692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693</v>
      </c>
      <c r="B149" s="4">
        <v>1</v>
      </c>
      <c r="C149" s="4"/>
      <c r="D149" s="4">
        <v>0</v>
      </c>
      <c r="E149" s="4" t="s">
        <v>102</v>
      </c>
      <c r="F149" s="4">
        <v>0</v>
      </c>
      <c r="G149" s="4" t="s">
        <v>694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695</v>
      </c>
      <c r="B150" s="4">
        <v>1</v>
      </c>
      <c r="C150" s="4"/>
      <c r="D150" s="4">
        <v>0</v>
      </c>
      <c r="E150" s="4" t="s">
        <v>102</v>
      </c>
      <c r="F150" s="4">
        <v>0</v>
      </c>
      <c r="G150" s="4" t="s">
        <v>696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697</v>
      </c>
      <c r="B151" s="4">
        <v>1</v>
      </c>
      <c r="C151" s="4"/>
      <c r="D151" s="4">
        <v>0</v>
      </c>
      <c r="E151" s="4" t="s">
        <v>102</v>
      </c>
      <c r="F151" s="4">
        <v>0</v>
      </c>
      <c r="G151" s="4" t="s">
        <v>698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699</v>
      </c>
      <c r="B152" s="4">
        <v>3</v>
      </c>
      <c r="C152" s="4"/>
      <c r="D152" s="4">
        <v>0</v>
      </c>
      <c r="E152" s="4" t="s">
        <v>102</v>
      </c>
      <c r="F152" s="4">
        <v>0</v>
      </c>
      <c r="G152" s="4" t="s">
        <v>700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701</v>
      </c>
      <c r="B2" s="4">
        <v>1</v>
      </c>
      <c r="C2" s="4" t="s">
        <v>27</v>
      </c>
      <c r="D2" s="4"/>
      <c r="E2" s="4"/>
      <c r="F2" s="4">
        <v>200</v>
      </c>
      <c r="G2" s="4" t="s">
        <v>702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703</v>
      </c>
      <c r="B3" s="4">
        <v>1</v>
      </c>
      <c r="C3" s="4" t="s">
        <v>27</v>
      </c>
      <c r="D3" s="4"/>
      <c r="E3" s="4"/>
      <c r="F3" s="4">
        <v>30.5</v>
      </c>
      <c r="G3" s="4" t="s">
        <v>704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705</v>
      </c>
      <c r="B4" s="4">
        <v>1</v>
      </c>
      <c r="C4" s="4" t="s">
        <v>27</v>
      </c>
      <c r="D4" s="4"/>
      <c r="E4" s="4"/>
      <c r="F4" s="4">
        <v>45</v>
      </c>
      <c r="G4" s="4" t="s">
        <v>706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707</v>
      </c>
      <c r="B5" s="4">
        <v>6</v>
      </c>
      <c r="C5" s="4" t="s">
        <v>27</v>
      </c>
      <c r="D5" s="4"/>
      <c r="E5" s="4"/>
      <c r="F5" s="4">
        <v>45</v>
      </c>
      <c r="G5" s="4" t="s">
        <v>708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709</v>
      </c>
      <c r="B6" s="4">
        <v>0</v>
      </c>
      <c r="C6" s="4" t="s">
        <v>27</v>
      </c>
      <c r="D6" s="4"/>
      <c r="E6" s="4"/>
      <c r="F6" s="4">
        <v>250</v>
      </c>
      <c r="G6" s="4" t="s">
        <v>710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711</v>
      </c>
      <c r="B7" s="4">
        <v>2</v>
      </c>
      <c r="C7" s="4" t="s">
        <v>27</v>
      </c>
      <c r="D7" s="4"/>
      <c r="E7" s="4"/>
      <c r="F7" s="4">
        <v>50</v>
      </c>
      <c r="G7" s="4" t="s">
        <v>712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713</v>
      </c>
      <c r="B8" s="4">
        <v>1</v>
      </c>
      <c r="C8" s="4"/>
      <c r="D8" s="4">
        <v>0</v>
      </c>
      <c r="E8" s="4" t="s">
        <v>102</v>
      </c>
      <c r="F8" s="4">
        <v>0</v>
      </c>
      <c r="G8" s="4" t="s">
        <v>714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715</v>
      </c>
      <c r="B9" s="4">
        <v>1</v>
      </c>
      <c r="C9" s="4"/>
      <c r="D9" s="4">
        <v>0</v>
      </c>
      <c r="E9" s="4" t="s">
        <v>102</v>
      </c>
      <c r="F9" s="4">
        <v>0</v>
      </c>
      <c r="G9" s="4" t="s">
        <v>716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717</v>
      </c>
      <c r="B10" s="4">
        <v>1</v>
      </c>
      <c r="C10" s="4"/>
      <c r="D10" s="4">
        <v>0</v>
      </c>
      <c r="E10" s="4" t="s">
        <v>102</v>
      </c>
      <c r="F10" s="4">
        <v>0</v>
      </c>
      <c r="G10" s="4" t="s">
        <v>718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719</v>
      </c>
      <c r="B11" s="4">
        <v>4</v>
      </c>
      <c r="C11" s="4"/>
      <c r="D11" s="4">
        <v>0</v>
      </c>
      <c r="E11" s="4" t="s">
        <v>102</v>
      </c>
      <c r="F11" s="4">
        <v>0</v>
      </c>
      <c r="G11" s="4" t="s">
        <v>720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721</v>
      </c>
      <c r="B12" s="4">
        <v>8</v>
      </c>
      <c r="C12" s="4"/>
      <c r="D12" s="4">
        <v>0</v>
      </c>
      <c r="E12" s="4" t="s">
        <v>102</v>
      </c>
      <c r="F12" s="4">
        <v>0</v>
      </c>
      <c r="G12" s="4" t="s">
        <v>722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723</v>
      </c>
      <c r="B2" s="4">
        <v>1</v>
      </c>
      <c r="C2" s="4" t="s">
        <v>27</v>
      </c>
      <c r="D2" s="4"/>
      <c r="E2" s="4"/>
      <c r="F2" s="4">
        <v>87</v>
      </c>
      <c r="G2" s="4" t="s">
        <v>724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725</v>
      </c>
      <c r="B3" s="4">
        <v>1</v>
      </c>
      <c r="C3" s="4" t="s">
        <v>27</v>
      </c>
      <c r="D3" s="4"/>
      <c r="E3" s="4"/>
      <c r="F3" s="4">
        <v>35</v>
      </c>
      <c r="G3" s="4" t="s">
        <v>726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727</v>
      </c>
      <c r="B4" s="4">
        <v>1</v>
      </c>
      <c r="C4" s="4" t="s">
        <v>27</v>
      </c>
      <c r="D4" s="4"/>
      <c r="E4" s="4"/>
      <c r="F4" s="4">
        <v>35</v>
      </c>
      <c r="G4" s="4" t="s">
        <v>728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729</v>
      </c>
      <c r="B2" s="4">
        <v>7</v>
      </c>
      <c r="C2" s="4" t="s">
        <v>27</v>
      </c>
      <c r="D2" s="4"/>
      <c r="E2" s="4"/>
      <c r="F2" s="4">
        <v>30</v>
      </c>
      <c r="G2" s="4" t="s">
        <v>730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731</v>
      </c>
      <c r="B3" s="4">
        <v>7</v>
      </c>
      <c r="C3" s="4" t="s">
        <v>27</v>
      </c>
      <c r="D3" s="4"/>
      <c r="E3" s="4"/>
      <c r="F3" s="4">
        <v>25</v>
      </c>
      <c r="G3" s="4" t="s">
        <v>732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733</v>
      </c>
      <c r="B4" s="4">
        <v>1</v>
      </c>
      <c r="C4" s="4" t="s">
        <v>27</v>
      </c>
      <c r="D4" s="4"/>
      <c r="E4" s="4"/>
      <c r="F4" s="4">
        <v>42</v>
      </c>
      <c r="G4" s="4" t="s">
        <v>734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735</v>
      </c>
      <c r="B5" s="4">
        <v>3</v>
      </c>
      <c r="C5" s="4" t="s">
        <v>27</v>
      </c>
      <c r="D5" s="4"/>
      <c r="E5" s="4"/>
      <c r="F5" s="4">
        <v>10</v>
      </c>
      <c r="G5" s="4" t="s">
        <v>736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737</v>
      </c>
      <c r="B6" s="4">
        <v>1</v>
      </c>
      <c r="C6" s="4" t="s">
        <v>27</v>
      </c>
      <c r="D6" s="4"/>
      <c r="E6" s="4"/>
      <c r="F6" s="4">
        <v>50</v>
      </c>
      <c r="G6" s="4" t="s">
        <v>738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739</v>
      </c>
      <c r="B7" s="4">
        <v>1</v>
      </c>
      <c r="C7" s="4"/>
      <c r="D7" s="4">
        <v>0</v>
      </c>
      <c r="E7" s="4" t="s">
        <v>102</v>
      </c>
      <c r="F7" s="4">
        <v>0</v>
      </c>
      <c r="G7" s="4" t="s">
        <v>740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741</v>
      </c>
      <c r="B2" s="4">
        <v>2</v>
      </c>
      <c r="C2" s="4" t="s">
        <v>16</v>
      </c>
      <c r="D2" s="4"/>
      <c r="E2" s="4" t="s">
        <v>742</v>
      </c>
      <c r="F2" s="4"/>
      <c r="G2" s="4" t="s">
        <v>743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744</v>
      </c>
      <c r="B2" s="4">
        <v>25</v>
      </c>
      <c r="C2" s="4" t="s">
        <v>745</v>
      </c>
      <c r="D2" s="4"/>
      <c r="E2" s="4" t="s">
        <v>102</v>
      </c>
      <c r="F2" s="4"/>
      <c r="G2" s="4" t="s">
        <v>746</v>
      </c>
      <c r="H2" s="4">
        <v>6.32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748</v>
      </c>
      <c r="B3" s="4">
        <v>1.5</v>
      </c>
      <c r="C3" s="4" t="s">
        <v>745</v>
      </c>
      <c r="D3" s="4"/>
      <c r="E3" s="4" t="s">
        <v>102</v>
      </c>
      <c r="F3" s="4"/>
      <c r="G3" s="4" t="s">
        <v>749</v>
      </c>
      <c r="H3" s="4">
        <v>6.88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750</v>
      </c>
      <c r="B4" s="4">
        <v>0.75</v>
      </c>
      <c r="C4" s="4" t="s">
        <v>745</v>
      </c>
      <c r="D4" s="4"/>
      <c r="E4" s="4" t="s">
        <v>102</v>
      </c>
      <c r="F4" s="4"/>
      <c r="G4" s="4" t="s">
        <v>751</v>
      </c>
      <c r="H4" s="4">
        <v>6.88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752</v>
      </c>
      <c r="B5" s="4">
        <v>25</v>
      </c>
      <c r="C5" s="4" t="s">
        <v>745</v>
      </c>
      <c r="D5" s="4"/>
      <c r="E5" s="4" t="s">
        <v>102</v>
      </c>
      <c r="F5" s="4"/>
      <c r="G5" s="4" t="s">
        <v>753</v>
      </c>
      <c r="H5" s="4">
        <v>6.32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754</v>
      </c>
      <c r="B6" s="4">
        <v>1.25</v>
      </c>
      <c r="C6" s="4" t="s">
        <v>745</v>
      </c>
      <c r="D6" s="4"/>
      <c r="E6" s="4" t="s">
        <v>102</v>
      </c>
      <c r="F6" s="4"/>
      <c r="G6" s="4" t="s">
        <v>755</v>
      </c>
      <c r="H6" s="4">
        <v>6.88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756</v>
      </c>
      <c r="B7" s="4">
        <v>1.25</v>
      </c>
      <c r="C7" s="4" t="s">
        <v>745</v>
      </c>
      <c r="D7" s="4"/>
      <c r="E7" s="4" t="s">
        <v>102</v>
      </c>
      <c r="F7" s="4"/>
      <c r="G7" s="4" t="s">
        <v>757</v>
      </c>
      <c r="H7" s="4">
        <v>6.88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758</v>
      </c>
      <c r="B8" s="4">
        <v>0.63</v>
      </c>
      <c r="C8" s="4" t="s">
        <v>745</v>
      </c>
      <c r="D8" s="4"/>
      <c r="E8" s="4" t="s">
        <v>102</v>
      </c>
      <c r="F8" s="4"/>
      <c r="G8" s="4" t="s">
        <v>759</v>
      </c>
      <c r="H8" s="4">
        <v>6.88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760</v>
      </c>
      <c r="B9" s="4">
        <v>8.5</v>
      </c>
      <c r="C9" s="4" t="s">
        <v>745</v>
      </c>
      <c r="D9" s="4"/>
      <c r="E9" s="4" t="s">
        <v>102</v>
      </c>
      <c r="F9" s="4"/>
      <c r="G9" s="4" t="s">
        <v>761</v>
      </c>
      <c r="H9" s="4">
        <v>18.25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762</v>
      </c>
      <c r="B10" s="4">
        <v>2.8</v>
      </c>
      <c r="C10" s="4" t="s">
        <v>745</v>
      </c>
      <c r="D10" s="4"/>
      <c r="E10" s="4" t="s">
        <v>102</v>
      </c>
      <c r="F10" s="4"/>
      <c r="G10" s="4" t="s">
        <v>763</v>
      </c>
      <c r="H10" s="4">
        <v>0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764</v>
      </c>
      <c r="B11" s="4">
        <v>2.87</v>
      </c>
      <c r="C11" s="4"/>
      <c r="D11" s="4">
        <v>0</v>
      </c>
      <c r="E11" s="4" t="s">
        <v>102</v>
      </c>
      <c r="F11" s="4">
        <v>0</v>
      </c>
      <c r="G11" s="4" t="s">
        <v>757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765</v>
      </c>
      <c r="N11" s="4">
        <v>0</v>
      </c>
      <c r="O11" s="3">
        <f>=0</f>
      </c>
    </row>
    <row r="12" spans="1:15" x14ac:dyDescent="0.25">
      <c r="A12" s="2" t="s">
        <v>766</v>
      </c>
      <c r="B12" s="4">
        <v>1.71</v>
      </c>
      <c r="C12" s="4"/>
      <c r="D12" s="4">
        <v>0</v>
      </c>
      <c r="E12" s="4" t="s">
        <v>102</v>
      </c>
      <c r="F12" s="4">
        <v>0</v>
      </c>
      <c r="G12" s="4" t="s">
        <v>767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765</v>
      </c>
      <c r="N12" s="4">
        <v>0</v>
      </c>
      <c r="O12" s="3">
        <f>=0</f>
      </c>
    </row>
    <row r="13" spans="1:15" x14ac:dyDescent="0.25">
      <c r="A13" s="2" t="s">
        <v>768</v>
      </c>
      <c r="B13" s="4">
        <v>1.81</v>
      </c>
      <c r="C13" s="4"/>
      <c r="D13" s="4">
        <v>0</v>
      </c>
      <c r="E13" s="4" t="s">
        <v>102</v>
      </c>
      <c r="F13" s="4">
        <v>0</v>
      </c>
      <c r="G13" s="4" t="s">
        <v>767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765</v>
      </c>
      <c r="N13" s="4">
        <v>0</v>
      </c>
      <c r="O13" s="3">
        <f>=0</f>
      </c>
    </row>
    <row r="14" spans="1:15" x14ac:dyDescent="0.25">
      <c r="A14" s="2" t="s">
        <v>769</v>
      </c>
      <c r="B14" s="4">
        <v>0.88</v>
      </c>
      <c r="C14" s="4"/>
      <c r="D14" s="4">
        <v>0</v>
      </c>
      <c r="E14" s="4" t="s">
        <v>102</v>
      </c>
      <c r="F14" s="4">
        <v>0</v>
      </c>
      <c r="G14" s="4" t="s">
        <v>759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765</v>
      </c>
      <c r="N14" s="4">
        <v>0</v>
      </c>
      <c r="O14" s="3">
        <f>=0</f>
      </c>
    </row>
    <row r="15" spans="1:15" x14ac:dyDescent="0.25">
      <c r="A15" s="2" t="s">
        <v>770</v>
      </c>
      <c r="B15" s="4">
        <v>1.72</v>
      </c>
      <c r="C15" s="4"/>
      <c r="D15" s="4">
        <v>0</v>
      </c>
      <c r="E15" s="4" t="s">
        <v>102</v>
      </c>
      <c r="F15" s="4">
        <v>0</v>
      </c>
      <c r="G15" s="4" t="s">
        <v>759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765</v>
      </c>
      <c r="N15" s="4">
        <v>0</v>
      </c>
      <c r="O15" s="3">
        <f>=0</f>
      </c>
    </row>
    <row r="16" spans="1:15" x14ac:dyDescent="0.25">
      <c r="A16" s="2" t="s">
        <v>771</v>
      </c>
      <c r="B16" s="4">
        <v>1.03</v>
      </c>
      <c r="C16" s="4"/>
      <c r="D16" s="4">
        <v>0</v>
      </c>
      <c r="E16" s="4" t="s">
        <v>102</v>
      </c>
      <c r="F16" s="4">
        <v>0</v>
      </c>
      <c r="G16" s="4" t="s">
        <v>755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765</v>
      </c>
      <c r="N16" s="4">
        <v>0</v>
      </c>
      <c r="O16" s="3">
        <f>=0</f>
      </c>
    </row>
    <row r="17" spans="1:15" x14ac:dyDescent="0.25">
      <c r="A17" s="2" t="s">
        <v>772</v>
      </c>
      <c r="B17" s="4">
        <v>2.34</v>
      </c>
      <c r="C17" s="4"/>
      <c r="D17" s="4">
        <v>0</v>
      </c>
      <c r="E17" s="4" t="s">
        <v>102</v>
      </c>
      <c r="F17" s="4">
        <v>0</v>
      </c>
      <c r="G17" s="4" t="s">
        <v>773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102</v>
      </c>
      <c r="N17" s="4">
        <v>0</v>
      </c>
      <c r="O17" s="3">
        <f>=0</f>
      </c>
    </row>
    <row r="18" spans="1:15" x14ac:dyDescent="0.25">
      <c r="A18" s="2" t="s">
        <v>774</v>
      </c>
      <c r="B18" s="4">
        <v>2.65</v>
      </c>
      <c r="C18" s="4"/>
      <c r="D18" s="4">
        <v>0</v>
      </c>
      <c r="E18" s="4" t="s">
        <v>102</v>
      </c>
      <c r="F18" s="4">
        <v>0</v>
      </c>
      <c r="G18" s="4" t="s">
        <v>775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765</v>
      </c>
      <c r="N18" s="4">
        <v>0</v>
      </c>
      <c r="O18" s="3">
        <f>=0</f>
      </c>
    </row>
    <row r="19" spans="1:15" x14ac:dyDescent="0.25">
      <c r="A19" s="2" t="s">
        <v>776</v>
      </c>
      <c r="B19" s="4">
        <v>1.5</v>
      </c>
      <c r="C19" s="4"/>
      <c r="D19" s="4">
        <v>0</v>
      </c>
      <c r="E19" s="4" t="s">
        <v>102</v>
      </c>
      <c r="F19" s="4">
        <v>0</v>
      </c>
      <c r="G19" s="4" t="s">
        <v>775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765</v>
      </c>
      <c r="N19" s="4">
        <v>0</v>
      </c>
      <c r="O19" s="3">
        <f>=0</f>
      </c>
    </row>
    <row r="20" spans="1:15" x14ac:dyDescent="0.25">
      <c r="A20" s="2" t="s">
        <v>777</v>
      </c>
      <c r="B20" s="4">
        <v>1.25</v>
      </c>
      <c r="C20" s="4"/>
      <c r="D20" s="4">
        <v>0</v>
      </c>
      <c r="E20" s="4" t="s">
        <v>102</v>
      </c>
      <c r="F20" s="4">
        <v>0</v>
      </c>
      <c r="G20" s="4" t="s">
        <v>775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765</v>
      </c>
      <c r="N20" s="4">
        <v>0</v>
      </c>
      <c r="O20" s="3">
        <f>=0</f>
      </c>
    </row>
    <row r="21" spans="1:15" x14ac:dyDescent="0.25">
      <c r="A21" s="2" t="s">
        <v>778</v>
      </c>
      <c r="B21" s="4">
        <v>0.81</v>
      </c>
      <c r="C21" s="4"/>
      <c r="D21" s="4">
        <v>0</v>
      </c>
      <c r="E21" s="4" t="s">
        <v>102</v>
      </c>
      <c r="F21" s="4">
        <v>0</v>
      </c>
      <c r="G21" s="4" t="s">
        <v>779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765</v>
      </c>
      <c r="N21" s="4">
        <v>0</v>
      </c>
      <c r="O21" s="3">
        <f>=0</f>
      </c>
    </row>
    <row r="22" spans="1:15" x14ac:dyDescent="0.25">
      <c r="A22" s="2" t="s">
        <v>780</v>
      </c>
      <c r="B22" s="4">
        <v>0.86</v>
      </c>
      <c r="C22" s="4"/>
      <c r="D22" s="4">
        <v>0</v>
      </c>
      <c r="E22" s="4" t="s">
        <v>102</v>
      </c>
      <c r="F22" s="4">
        <v>0</v>
      </c>
      <c r="G22" s="4" t="s">
        <v>779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765</v>
      </c>
      <c r="N22" s="4">
        <v>0</v>
      </c>
      <c r="O22" s="3">
        <f>=0</f>
      </c>
    </row>
    <row r="23" spans="1:15" x14ac:dyDescent="0.25">
      <c r="A23" s="2" t="s">
        <v>781</v>
      </c>
      <c r="B23" s="4">
        <v>4.3</v>
      </c>
      <c r="C23" s="4"/>
      <c r="D23" s="4">
        <v>0</v>
      </c>
      <c r="E23" s="4" t="s">
        <v>102</v>
      </c>
      <c r="F23" s="4">
        <v>0</v>
      </c>
      <c r="G23" s="4" t="s">
        <v>782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765</v>
      </c>
      <c r="N23" s="4">
        <v>0</v>
      </c>
      <c r="O23" s="3">
        <f>=0</f>
      </c>
    </row>
    <row r="24" spans="1:15" x14ac:dyDescent="0.25">
      <c r="A24" s="2" t="s">
        <v>783</v>
      </c>
      <c r="B24" s="4">
        <v>1.62</v>
      </c>
      <c r="C24" s="4"/>
      <c r="D24" s="4">
        <v>0</v>
      </c>
      <c r="E24" s="4" t="s">
        <v>102</v>
      </c>
      <c r="F24" s="4">
        <v>0</v>
      </c>
      <c r="G24" s="4" t="s">
        <v>784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765</v>
      </c>
      <c r="N24" s="4">
        <v>0</v>
      </c>
      <c r="O24" s="3">
        <f>=0</f>
      </c>
    </row>
    <row r="25" spans="1:15" x14ac:dyDescent="0.25">
      <c r="A25" s="2" t="s">
        <v>785</v>
      </c>
      <c r="B25" s="4">
        <v>25</v>
      </c>
      <c r="C25" s="4"/>
      <c r="D25" s="4">
        <v>0</v>
      </c>
      <c r="E25" s="4" t="s">
        <v>102</v>
      </c>
      <c r="F25" s="4">
        <v>0</v>
      </c>
      <c r="G25" s="4" t="s">
        <v>786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102</v>
      </c>
      <c r="N25" s="4">
        <v>0</v>
      </c>
      <c r="O25" s="3">
        <f>=0</f>
      </c>
    </row>
    <row r="26" spans="1:15" x14ac:dyDescent="0.25">
      <c r="A26" s="2" t="s">
        <v>787</v>
      </c>
      <c r="B26" s="4">
        <v>25</v>
      </c>
      <c r="C26" s="4"/>
      <c r="D26" s="4">
        <v>0</v>
      </c>
      <c r="E26" s="4" t="s">
        <v>102</v>
      </c>
      <c r="F26" s="4">
        <v>0</v>
      </c>
      <c r="G26" s="4" t="s">
        <v>788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102</v>
      </c>
      <c r="N26" s="4">
        <v>0</v>
      </c>
      <c r="O26" s="3">
        <f>=0</f>
      </c>
    </row>
    <row r="27" spans="1:15" x14ac:dyDescent="0.25">
      <c r="A27" s="2" t="s">
        <v>789</v>
      </c>
      <c r="B27" s="4">
        <v>25</v>
      </c>
      <c r="C27" s="4"/>
      <c r="D27" s="4">
        <v>0</v>
      </c>
      <c r="E27" s="4" t="s">
        <v>102</v>
      </c>
      <c r="F27" s="4">
        <v>0</v>
      </c>
      <c r="G27" s="4" t="s">
        <v>784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102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790</v>
      </c>
      <c r="B2" s="4">
        <v>1.4</v>
      </c>
      <c r="C2" s="4" t="s">
        <v>745</v>
      </c>
      <c r="D2" s="4"/>
      <c r="E2" s="4"/>
      <c r="F2" s="4"/>
      <c r="G2" s="4" t="s">
        <v>791</v>
      </c>
      <c r="H2" s="4">
        <v>18.65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792</v>
      </c>
      <c r="B3" s="4">
        <v>3</v>
      </c>
      <c r="C3" s="4" t="s">
        <v>745</v>
      </c>
      <c r="D3" s="4"/>
      <c r="E3" s="4"/>
      <c r="F3" s="4"/>
      <c r="G3" s="4" t="s">
        <v>793</v>
      </c>
      <c r="H3" s="4">
        <v>17.49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794</v>
      </c>
      <c r="B4" s="4">
        <v>0.93</v>
      </c>
      <c r="C4" s="4" t="s">
        <v>745</v>
      </c>
      <c r="D4" s="4"/>
      <c r="E4" s="4"/>
      <c r="F4" s="4"/>
      <c r="G4" s="4" t="s">
        <v>795</v>
      </c>
      <c r="H4" s="4">
        <v>18.65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796</v>
      </c>
      <c r="B5" s="4">
        <v>1.2</v>
      </c>
      <c r="C5" s="4" t="s">
        <v>745</v>
      </c>
      <c r="D5" s="4"/>
      <c r="E5" s="4"/>
      <c r="F5" s="4"/>
      <c r="G5" s="4" t="s">
        <v>795</v>
      </c>
      <c r="H5" s="4">
        <v>18.65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797</v>
      </c>
      <c r="B6" s="4">
        <v>1.4</v>
      </c>
      <c r="C6" s="4" t="s">
        <v>745</v>
      </c>
      <c r="D6" s="4"/>
      <c r="E6" s="4"/>
      <c r="F6" s="4"/>
      <c r="G6" s="4" t="s">
        <v>798</v>
      </c>
      <c r="H6" s="4">
        <v>24.13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799</v>
      </c>
      <c r="B2" s="4">
        <v>3</v>
      </c>
      <c r="C2" s="4" t="s">
        <v>745</v>
      </c>
      <c r="D2" s="4"/>
      <c r="E2" s="4"/>
      <c r="F2" s="4"/>
      <c r="G2" s="4" t="s">
        <v>800</v>
      </c>
      <c r="H2" s="4">
        <v>12.5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801</v>
      </c>
      <c r="B3" s="4">
        <v>0.4</v>
      </c>
      <c r="C3" s="4" t="s">
        <v>745</v>
      </c>
      <c r="D3" s="4"/>
      <c r="E3" s="4"/>
      <c r="F3" s="4"/>
      <c r="G3" s="4" t="s">
        <v>802</v>
      </c>
      <c r="H3" s="4">
        <v>6.21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803</v>
      </c>
      <c r="B4" s="4">
        <v>0.5</v>
      </c>
      <c r="C4" s="4" t="s">
        <v>745</v>
      </c>
      <c r="D4" s="4"/>
      <c r="E4" s="4"/>
      <c r="F4" s="4"/>
      <c r="G4" s="4" t="s">
        <v>804</v>
      </c>
      <c r="H4" s="4">
        <v>6.21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805</v>
      </c>
      <c r="B5" s="4">
        <v>0.7</v>
      </c>
      <c r="C5" s="4" t="s">
        <v>745</v>
      </c>
      <c r="D5" s="4"/>
      <c r="E5" s="4"/>
      <c r="F5" s="4"/>
      <c r="G5" s="4" t="s">
        <v>806</v>
      </c>
      <c r="H5" s="4">
        <v>6.21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807</v>
      </c>
      <c r="B6" s="4">
        <v>0.65</v>
      </c>
      <c r="C6" s="4" t="s">
        <v>745</v>
      </c>
      <c r="D6" s="4"/>
      <c r="E6" s="4"/>
      <c r="F6" s="4"/>
      <c r="G6" s="4" t="s">
        <v>808</v>
      </c>
      <c r="H6" s="4">
        <v>6.21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809</v>
      </c>
      <c r="B7" s="4">
        <v>6</v>
      </c>
      <c r="C7" s="4" t="s">
        <v>745</v>
      </c>
      <c r="D7" s="4"/>
      <c r="E7" s="4"/>
      <c r="F7" s="4"/>
      <c r="G7" s="4" t="s">
        <v>808</v>
      </c>
      <c r="H7" s="4">
        <v>6.21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810</v>
      </c>
      <c r="B8" s="4">
        <v>2</v>
      </c>
      <c r="C8" s="4" t="s">
        <v>745</v>
      </c>
      <c r="D8" s="4"/>
      <c r="E8" s="4"/>
      <c r="F8" s="4"/>
      <c r="G8" s="4" t="s">
        <v>811</v>
      </c>
      <c r="H8" s="4">
        <v>12.1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812</v>
      </c>
      <c r="B9" s="4">
        <v>4</v>
      </c>
      <c r="C9" s="4" t="s">
        <v>745</v>
      </c>
      <c r="D9" s="4"/>
      <c r="E9" s="4"/>
      <c r="F9" s="4"/>
      <c r="G9" s="4" t="s">
        <v>813</v>
      </c>
      <c r="H9" s="4">
        <v>6.21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814</v>
      </c>
      <c r="B10" s="4">
        <v>5</v>
      </c>
      <c r="C10" s="4" t="s">
        <v>745</v>
      </c>
      <c r="D10" s="4"/>
      <c r="E10" s="4"/>
      <c r="F10" s="4"/>
      <c r="G10" s="4" t="s">
        <v>815</v>
      </c>
      <c r="H10" s="4">
        <v>6.21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816</v>
      </c>
      <c r="B11" s="4">
        <v>3</v>
      </c>
      <c r="C11" s="4" t="s">
        <v>745</v>
      </c>
      <c r="D11" s="4"/>
      <c r="E11" s="4"/>
      <c r="F11" s="4"/>
      <c r="G11" s="4" t="s">
        <v>817</v>
      </c>
      <c r="H11" s="4">
        <v>7.1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818</v>
      </c>
      <c r="B12" s="4">
        <v>4</v>
      </c>
      <c r="C12" s="4" t="s">
        <v>745</v>
      </c>
      <c r="D12" s="4"/>
      <c r="E12" s="4"/>
      <c r="F12" s="4"/>
      <c r="G12" s="4" t="s">
        <v>819</v>
      </c>
      <c r="H12" s="4">
        <v>6.21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820</v>
      </c>
      <c r="B13" s="4">
        <v>2</v>
      </c>
      <c r="C13" s="4" t="s">
        <v>745</v>
      </c>
      <c r="D13" s="4"/>
      <c r="E13" s="4"/>
      <c r="F13" s="4"/>
      <c r="G13" s="4" t="s">
        <v>821</v>
      </c>
      <c r="H13" s="4">
        <v>6.21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822</v>
      </c>
      <c r="B14" s="4">
        <v>1.9</v>
      </c>
      <c r="C14" s="4" t="s">
        <v>745</v>
      </c>
      <c r="D14" s="4"/>
      <c r="E14" s="4"/>
      <c r="F14" s="4"/>
      <c r="G14" s="4" t="s">
        <v>823</v>
      </c>
      <c r="H14" s="4">
        <v>9.52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824</v>
      </c>
      <c r="B15" s="4">
        <v>23.5</v>
      </c>
      <c r="C15" s="4" t="s">
        <v>745</v>
      </c>
      <c r="D15" s="4"/>
      <c r="E15" s="4"/>
      <c r="F15" s="4"/>
      <c r="G15" s="4" t="s">
        <v>825</v>
      </c>
      <c r="H15" s="4">
        <v>6.62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826</v>
      </c>
      <c r="B16" s="4">
        <v>22</v>
      </c>
      <c r="C16" s="4" t="s">
        <v>745</v>
      </c>
      <c r="D16" s="4"/>
      <c r="E16" s="4"/>
      <c r="F16" s="4"/>
      <c r="G16" s="4" t="s">
        <v>827</v>
      </c>
      <c r="H16" s="4">
        <v>6.21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828</v>
      </c>
      <c r="B17" s="4">
        <v>1.5</v>
      </c>
      <c r="C17" s="4" t="s">
        <v>745</v>
      </c>
      <c r="D17" s="4"/>
      <c r="E17" s="4"/>
      <c r="F17" s="4"/>
      <c r="G17" s="4" t="s">
        <v>829</v>
      </c>
      <c r="H17" s="4">
        <v>6.21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830</v>
      </c>
      <c r="B18" s="4">
        <v>2</v>
      </c>
      <c r="C18" s="4" t="s">
        <v>745</v>
      </c>
      <c r="D18" s="4"/>
      <c r="E18" s="4"/>
      <c r="F18" s="4"/>
      <c r="G18" s="4" t="s">
        <v>831</v>
      </c>
      <c r="H18" s="4">
        <v>6.21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832</v>
      </c>
      <c r="B19" s="4">
        <v>0.7</v>
      </c>
      <c r="C19" s="4" t="s">
        <v>745</v>
      </c>
      <c r="D19" s="4"/>
      <c r="E19" s="4"/>
      <c r="F19" s="4"/>
      <c r="G19" s="4" t="s">
        <v>833</v>
      </c>
      <c r="H19" s="4">
        <v>6.21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834</v>
      </c>
      <c r="B20" s="4">
        <v>7</v>
      </c>
      <c r="C20" s="4" t="s">
        <v>745</v>
      </c>
      <c r="D20" s="4"/>
      <c r="E20" s="4"/>
      <c r="F20" s="4"/>
      <c r="G20" s="4" t="s">
        <v>835</v>
      </c>
      <c r="H20" s="4">
        <v>6.21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836</v>
      </c>
      <c r="B21" s="4">
        <v>5</v>
      </c>
      <c r="C21" s="4" t="s">
        <v>745</v>
      </c>
      <c r="D21" s="4"/>
      <c r="E21" s="4"/>
      <c r="F21" s="4"/>
      <c r="G21" s="4" t="s">
        <v>837</v>
      </c>
      <c r="H21" s="4">
        <v>6.21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838</v>
      </c>
      <c r="B22" s="4">
        <v>0.9</v>
      </c>
      <c r="C22" s="4" t="s">
        <v>745</v>
      </c>
      <c r="D22" s="4"/>
      <c r="E22" s="4"/>
      <c r="F22" s="4"/>
      <c r="G22" s="4" t="s">
        <v>839</v>
      </c>
      <c r="H22" s="4">
        <v>10.41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840</v>
      </c>
      <c r="B2" s="4">
        <v>5.3</v>
      </c>
      <c r="C2" s="4" t="s">
        <v>841</v>
      </c>
      <c r="D2" s="4"/>
      <c r="E2" s="4"/>
      <c r="F2" s="4"/>
      <c r="G2" s="4" t="s">
        <v>842</v>
      </c>
      <c r="H2" s="4"/>
      <c r="I2" s="4"/>
      <c r="J2" s="4">
        <v>4.14</v>
      </c>
      <c r="K2" s="4"/>
      <c r="L2" s="4"/>
      <c r="M2" s="4" t="s">
        <v>747</v>
      </c>
      <c r="N2" s="4">
        <v>137</v>
      </c>
      <c r="O2" s="3">
        <f>=B2*(N2/100)*J2</f>
      </c>
    </row>
    <row r="3" spans="1:15" x14ac:dyDescent="0.25">
      <c r="A3" s="2" t="s">
        <v>843</v>
      </c>
      <c r="B3" s="4">
        <v>20.8</v>
      </c>
      <c r="C3" s="4" t="s">
        <v>841</v>
      </c>
      <c r="D3" s="4"/>
      <c r="E3" s="4"/>
      <c r="F3" s="4"/>
      <c r="G3" s="4" t="s">
        <v>844</v>
      </c>
      <c r="H3" s="4"/>
      <c r="I3" s="4"/>
      <c r="J3" s="4">
        <v>4.14</v>
      </c>
      <c r="K3" s="4"/>
      <c r="L3" s="4"/>
      <c r="M3" s="4" t="s">
        <v>747</v>
      </c>
      <c r="N3" s="4">
        <v>160</v>
      </c>
      <c r="O3" s="3">
        <f>=B3*(N3/100)*J3</f>
      </c>
    </row>
    <row r="4" spans="1:15" x14ac:dyDescent="0.25">
      <c r="A4" s="2" t="s">
        <v>845</v>
      </c>
      <c r="B4" s="4">
        <v>2</v>
      </c>
      <c r="C4" s="4" t="s">
        <v>841</v>
      </c>
      <c r="D4" s="4"/>
      <c r="E4" s="4"/>
      <c r="F4" s="4"/>
      <c r="G4" s="4" t="s">
        <v>846</v>
      </c>
      <c r="H4" s="4"/>
      <c r="I4" s="4"/>
      <c r="J4" s="4">
        <v>5.01</v>
      </c>
      <c r="K4" s="4"/>
      <c r="L4" s="4"/>
      <c r="M4" s="4" t="s">
        <v>747</v>
      </c>
      <c r="N4" s="4">
        <v>137</v>
      </c>
      <c r="O4" s="3">
        <f>=B4*(N4/100)*J4</f>
      </c>
    </row>
    <row r="5" spans="1:15" x14ac:dyDescent="0.25">
      <c r="A5" s="2" t="s">
        <v>847</v>
      </c>
      <c r="B5" s="4">
        <v>10</v>
      </c>
      <c r="C5" s="4" t="s">
        <v>841</v>
      </c>
      <c r="D5" s="4"/>
      <c r="E5" s="4"/>
      <c r="F5" s="4"/>
      <c r="G5" s="4" t="s">
        <v>848</v>
      </c>
      <c r="H5" s="4"/>
      <c r="I5" s="4"/>
      <c r="J5" s="4">
        <v>5.1</v>
      </c>
      <c r="K5" s="4"/>
      <c r="L5" s="4"/>
      <c r="M5" s="4" t="s">
        <v>747</v>
      </c>
      <c r="N5" s="4">
        <v>137</v>
      </c>
      <c r="O5" s="3">
        <f>=B5*(N5/100)*J5</f>
      </c>
    </row>
    <row r="6" spans="1:15" x14ac:dyDescent="0.25">
      <c r="A6" s="2" t="s">
        <v>849</v>
      </c>
      <c r="B6" s="4">
        <v>0</v>
      </c>
      <c r="C6" s="4" t="s">
        <v>841</v>
      </c>
      <c r="D6" s="4"/>
      <c r="E6" s="4"/>
      <c r="F6" s="4"/>
      <c r="G6" s="4" t="s">
        <v>850</v>
      </c>
      <c r="H6" s="4"/>
      <c r="I6" s="4"/>
      <c r="J6" s="4"/>
      <c r="K6" s="4"/>
      <c r="L6" s="4"/>
      <c r="M6" s="4" t="s">
        <v>747</v>
      </c>
      <c r="N6" s="4">
        <v>137</v>
      </c>
      <c r="O6" s="3">
        <f>=B6*(N6/100)*J6</f>
      </c>
    </row>
    <row r="7" spans="1:15" x14ac:dyDescent="0.25">
      <c r="A7" s="2" t="s">
        <v>851</v>
      </c>
      <c r="B7" s="4">
        <v>50</v>
      </c>
      <c r="C7" s="4" t="s">
        <v>841</v>
      </c>
      <c r="D7" s="4"/>
      <c r="E7" s="4"/>
      <c r="F7" s="4"/>
      <c r="G7" s="4" t="s">
        <v>852</v>
      </c>
      <c r="H7" s="4"/>
      <c r="I7" s="4"/>
      <c r="J7" s="4">
        <v>4.57</v>
      </c>
      <c r="K7" s="4"/>
      <c r="L7" s="4"/>
      <c r="M7" s="4" t="s">
        <v>747</v>
      </c>
      <c r="N7" s="4">
        <v>137</v>
      </c>
      <c r="O7" s="3">
        <f>=B7*(N7/100)*J7</f>
      </c>
    </row>
    <row r="8" spans="1:15" x14ac:dyDescent="0.25">
      <c r="A8" s="2" t="s">
        <v>853</v>
      </c>
      <c r="B8" s="4">
        <v>24</v>
      </c>
      <c r="C8" s="4" t="s">
        <v>841</v>
      </c>
      <c r="D8" s="4"/>
      <c r="E8" s="4"/>
      <c r="F8" s="4"/>
      <c r="G8" s="4" t="s">
        <v>854</v>
      </c>
      <c r="H8" s="4"/>
      <c r="I8" s="4"/>
      <c r="J8" s="4">
        <v>4.57</v>
      </c>
      <c r="K8" s="4"/>
      <c r="L8" s="4"/>
      <c r="M8" s="4" t="s">
        <v>747</v>
      </c>
      <c r="N8" s="4">
        <v>150</v>
      </c>
      <c r="O8" s="3">
        <f>=B8*(N8/100)*J8</f>
      </c>
    </row>
    <row r="9" spans="1:15" x14ac:dyDescent="0.25">
      <c r="A9" s="2" t="s">
        <v>855</v>
      </c>
      <c r="B9" s="4">
        <v>0</v>
      </c>
      <c r="C9" s="4" t="s">
        <v>841</v>
      </c>
      <c r="D9" s="4"/>
      <c r="E9" s="4"/>
      <c r="F9" s="4"/>
      <c r="G9" s="4" t="s">
        <v>856</v>
      </c>
      <c r="H9" s="4"/>
      <c r="I9" s="4"/>
      <c r="J9" s="4">
        <v>1.71</v>
      </c>
      <c r="K9" s="4"/>
      <c r="L9" s="4"/>
      <c r="M9" s="4" t="s">
        <v>747</v>
      </c>
      <c r="N9" s="4">
        <v>137</v>
      </c>
      <c r="O9" s="3">
        <f>=B9*(N9/100)*J9</f>
      </c>
    </row>
    <row r="10" spans="1:15" x14ac:dyDescent="0.25">
      <c r="A10" s="2" t="s">
        <v>857</v>
      </c>
      <c r="B10" s="4">
        <v>43</v>
      </c>
      <c r="C10" s="4" t="s">
        <v>841</v>
      </c>
      <c r="D10" s="4"/>
      <c r="E10" s="4"/>
      <c r="F10" s="4"/>
      <c r="G10" s="4" t="s">
        <v>856</v>
      </c>
      <c r="H10" s="4"/>
      <c r="I10" s="4"/>
      <c r="J10" s="4">
        <v>1.71</v>
      </c>
      <c r="K10" s="4"/>
      <c r="L10" s="4"/>
      <c r="M10" s="4" t="s">
        <v>747</v>
      </c>
      <c r="N10" s="4">
        <v>137</v>
      </c>
      <c r="O10" s="3">
        <f>=B10*(N10/100)*J10</f>
      </c>
    </row>
    <row r="11" spans="1:15" x14ac:dyDescent="0.25">
      <c r="A11" s="2" t="s">
        <v>858</v>
      </c>
      <c r="B11" s="4">
        <v>15.5</v>
      </c>
      <c r="C11" s="4" t="s">
        <v>859</v>
      </c>
      <c r="D11" s="4"/>
      <c r="E11" s="4"/>
      <c r="F11" s="4"/>
      <c r="G11" s="4" t="s">
        <v>860</v>
      </c>
      <c r="H11" s="4"/>
      <c r="I11" s="4">
        <v>262.4</v>
      </c>
      <c r="J11" s="4"/>
      <c r="K11" s="4"/>
      <c r="L11" s="4">
        <v>50</v>
      </c>
      <c r="M11" s="4" t="s">
        <v>747</v>
      </c>
      <c r="N11" s="4">
        <v>160</v>
      </c>
      <c r="O11" s="3">
        <v>0</v>
      </c>
    </row>
    <row r="12" spans="1:15" x14ac:dyDescent="0.25">
      <c r="A12" s="2" t="s">
        <v>861</v>
      </c>
      <c r="B12" s="4">
        <v>5</v>
      </c>
      <c r="C12" s="4" t="s">
        <v>859</v>
      </c>
      <c r="D12" s="4"/>
      <c r="E12" s="4"/>
      <c r="F12" s="4"/>
      <c r="G12" s="4" t="s">
        <v>862</v>
      </c>
      <c r="H12" s="4"/>
      <c r="I12" s="4">
        <v>250.69</v>
      </c>
      <c r="J12" s="4"/>
      <c r="K12" s="4"/>
      <c r="L12" s="4">
        <v>50</v>
      </c>
      <c r="M12" s="4" t="s">
        <v>747</v>
      </c>
      <c r="N12" s="4">
        <v>137</v>
      </c>
      <c r="O12" s="3">
        <v>0</v>
      </c>
    </row>
    <row r="13" spans="1:15" x14ac:dyDescent="0.25">
      <c r="A13" s="2" t="s">
        <v>863</v>
      </c>
      <c r="B13" s="4">
        <v>15</v>
      </c>
      <c r="C13" s="4" t="s">
        <v>841</v>
      </c>
      <c r="D13" s="4"/>
      <c r="E13" s="4"/>
      <c r="F13" s="4"/>
      <c r="G13" s="4" t="s">
        <v>864</v>
      </c>
      <c r="H13" s="4"/>
      <c r="I13" s="4"/>
      <c r="J13" s="4">
        <v>14.29</v>
      </c>
      <c r="K13" s="4"/>
      <c r="L13" s="4"/>
      <c r="M13" s="4" t="s">
        <v>747</v>
      </c>
      <c r="N13" s="4">
        <v>100</v>
      </c>
      <c r="O13" s="3">
        <f>=B13*(N13/100)*J13</f>
      </c>
    </row>
    <row r="14" spans="1:15" x14ac:dyDescent="0.25">
      <c r="A14" s="2" t="s">
        <v>865</v>
      </c>
      <c r="B14" s="4">
        <v>40</v>
      </c>
      <c r="C14" s="4" t="s">
        <v>841</v>
      </c>
      <c r="D14" s="4"/>
      <c r="E14" s="4"/>
      <c r="F14" s="4"/>
      <c r="G14" s="4" t="s">
        <v>866</v>
      </c>
      <c r="H14" s="4"/>
      <c r="I14" s="4"/>
      <c r="J14" s="4">
        <v>14.29</v>
      </c>
      <c r="K14" s="4"/>
      <c r="L14" s="4"/>
      <c r="M14" s="4" t="s">
        <v>747</v>
      </c>
      <c r="N14" s="4">
        <v>137</v>
      </c>
      <c r="O14" s="3">
        <f>=B14*(N14/100)*J14</f>
      </c>
    </row>
    <row r="15" spans="1:15" x14ac:dyDescent="0.25">
      <c r="A15" s="2" t="s">
        <v>867</v>
      </c>
      <c r="B15" s="4">
        <v>3</v>
      </c>
      <c r="C15" s="4" t="s">
        <v>841</v>
      </c>
      <c r="D15" s="4"/>
      <c r="E15" s="4"/>
      <c r="F15" s="4"/>
      <c r="G15" s="4" t="s">
        <v>868</v>
      </c>
      <c r="H15" s="4"/>
      <c r="I15" s="4"/>
      <c r="J15" s="4">
        <v>11.2</v>
      </c>
      <c r="K15" s="4"/>
      <c r="L15" s="4"/>
      <c r="M15" s="4" t="s">
        <v>747</v>
      </c>
      <c r="N15" s="4">
        <v>152</v>
      </c>
      <c r="O15" s="3">
        <f>=B15*(N15/100)*J15</f>
      </c>
    </row>
    <row r="16" spans="1:15" x14ac:dyDescent="0.25">
      <c r="A16" s="2" t="s">
        <v>869</v>
      </c>
      <c r="B16" s="4">
        <v>11</v>
      </c>
      <c r="C16" s="4" t="s">
        <v>859</v>
      </c>
      <c r="D16" s="4"/>
      <c r="E16" s="4"/>
      <c r="F16" s="4"/>
      <c r="G16" s="4" t="s">
        <v>870</v>
      </c>
      <c r="H16" s="4"/>
      <c r="I16" s="4">
        <v>435.8</v>
      </c>
      <c r="J16" s="4"/>
      <c r="K16" s="4"/>
      <c r="L16" s="4">
        <v>25</v>
      </c>
      <c r="M16" s="4" t="s">
        <v>747</v>
      </c>
      <c r="N16" s="4">
        <v>137</v>
      </c>
      <c r="O16" s="3">
        <v>0</v>
      </c>
    </row>
    <row r="17" spans="1:15" x14ac:dyDescent="0.25">
      <c r="A17" s="2" t="s">
        <v>871</v>
      </c>
      <c r="B17" s="4">
        <v>30</v>
      </c>
      <c r="C17" s="4" t="s">
        <v>859</v>
      </c>
      <c r="D17" s="4"/>
      <c r="E17" s="4"/>
      <c r="F17" s="4"/>
      <c r="G17" s="4" t="s">
        <v>872</v>
      </c>
      <c r="H17" s="4"/>
      <c r="I17" s="4">
        <v>213.98</v>
      </c>
      <c r="J17" s="4"/>
      <c r="K17" s="4"/>
      <c r="L17" s="4">
        <v>30</v>
      </c>
      <c r="M17" s="4" t="s">
        <v>747</v>
      </c>
      <c r="N17" s="4">
        <v>137</v>
      </c>
      <c r="O17" s="3">
        <v>0</v>
      </c>
    </row>
    <row r="18" spans="1:15" x14ac:dyDescent="0.25">
      <c r="A18" s="2" t="s">
        <v>873</v>
      </c>
      <c r="B18" s="4">
        <v>50</v>
      </c>
      <c r="C18" s="4" t="s">
        <v>841</v>
      </c>
      <c r="D18" s="4"/>
      <c r="E18" s="4"/>
      <c r="F18" s="4"/>
      <c r="G18" s="4" t="s">
        <v>874</v>
      </c>
      <c r="H18" s="4"/>
      <c r="I18" s="4"/>
      <c r="J18" s="4">
        <v>1.71</v>
      </c>
      <c r="K18" s="4"/>
      <c r="L18" s="4"/>
      <c r="M18" s="4" t="s">
        <v>747</v>
      </c>
      <c r="N18" s="4">
        <v>137</v>
      </c>
      <c r="O18" s="3">
        <f>=B18*(N18/100)*J18</f>
      </c>
    </row>
    <row r="19" spans="1:15" x14ac:dyDescent="0.25">
      <c r="A19" s="2" t="s">
        <v>875</v>
      </c>
      <c r="B19" s="4">
        <v>0</v>
      </c>
      <c r="C19" s="4" t="s">
        <v>841</v>
      </c>
      <c r="D19" s="4"/>
      <c r="E19" s="4"/>
      <c r="F19" s="4"/>
      <c r="G19" s="4" t="s">
        <v>876</v>
      </c>
      <c r="H19" s="4"/>
      <c r="I19" s="4"/>
      <c r="J19" s="4">
        <v>1.71</v>
      </c>
      <c r="K19" s="4"/>
      <c r="L19" s="4"/>
      <c r="M19" s="4" t="s">
        <v>747</v>
      </c>
      <c r="N19" s="4">
        <v>137</v>
      </c>
      <c r="O19" s="3">
        <f>=B19*(N19/100)*J19</f>
      </c>
    </row>
    <row r="20" spans="1:15" x14ac:dyDescent="0.25">
      <c r="A20" s="2" t="s">
        <v>877</v>
      </c>
      <c r="B20" s="4">
        <v>19</v>
      </c>
      <c r="C20" s="4" t="s">
        <v>841</v>
      </c>
      <c r="D20" s="4"/>
      <c r="E20" s="4" t="s">
        <v>102</v>
      </c>
      <c r="F20" s="4"/>
      <c r="G20" s="4" t="s">
        <v>878</v>
      </c>
      <c r="H20" s="4"/>
      <c r="I20" s="4"/>
      <c r="J20" s="4">
        <v>11.2</v>
      </c>
      <c r="K20" s="4"/>
      <c r="L20" s="4"/>
      <c r="M20" s="4" t="s">
        <v>747</v>
      </c>
      <c r="N20" s="4">
        <v>152</v>
      </c>
      <c r="O20" s="3">
        <f>=B20*(N20/100)*J20</f>
      </c>
    </row>
    <row r="21" spans="1:15" x14ac:dyDescent="0.25">
      <c r="A21" s="2" t="s">
        <v>879</v>
      </c>
      <c r="B21" s="4">
        <v>2.5</v>
      </c>
      <c r="C21" s="4" t="s">
        <v>859</v>
      </c>
      <c r="D21" s="4"/>
      <c r="E21" s="4"/>
      <c r="F21" s="4"/>
      <c r="G21" s="4" t="s">
        <v>872</v>
      </c>
      <c r="H21" s="4"/>
      <c r="I21" s="4">
        <v>213.98</v>
      </c>
      <c r="J21" s="4"/>
      <c r="K21" s="4"/>
      <c r="L21" s="4">
        <v>30</v>
      </c>
      <c r="M21" s="4" t="s">
        <v>747</v>
      </c>
      <c r="N21" s="4">
        <v>137</v>
      </c>
      <c r="O21" s="3">
        <v>0</v>
      </c>
    </row>
    <row r="22" spans="1:15" x14ac:dyDescent="0.25">
      <c r="A22" s="2" t="s">
        <v>880</v>
      </c>
      <c r="B22" s="4">
        <v>1.7</v>
      </c>
      <c r="C22" s="4" t="s">
        <v>859</v>
      </c>
      <c r="D22" s="4"/>
      <c r="E22" s="4"/>
      <c r="F22" s="4"/>
      <c r="G22" s="4" t="s">
        <v>872</v>
      </c>
      <c r="H22" s="4"/>
      <c r="I22" s="4">
        <v>213.98</v>
      </c>
      <c r="J22" s="4"/>
      <c r="K22" s="4"/>
      <c r="L22" s="4">
        <v>30</v>
      </c>
      <c r="M22" s="4" t="s">
        <v>747</v>
      </c>
      <c r="N22" s="4">
        <v>137</v>
      </c>
      <c r="O22" s="3">
        <v>0</v>
      </c>
    </row>
    <row r="23" spans="1:15" x14ac:dyDescent="0.25">
      <c r="A23" s="2" t="s">
        <v>881</v>
      </c>
      <c r="B23" s="4">
        <v>2</v>
      </c>
      <c r="C23" s="4" t="s">
        <v>859</v>
      </c>
      <c r="D23" s="4"/>
      <c r="E23" s="4"/>
      <c r="F23" s="4"/>
      <c r="G23" s="4" t="s">
        <v>872</v>
      </c>
      <c r="H23" s="4"/>
      <c r="I23" s="4">
        <v>213.98</v>
      </c>
      <c r="J23" s="4"/>
      <c r="K23" s="4"/>
      <c r="L23" s="4">
        <v>30</v>
      </c>
      <c r="M23" s="4" t="s">
        <v>747</v>
      </c>
      <c r="N23" s="4">
        <v>137</v>
      </c>
      <c r="O23" s="3">
        <v>0</v>
      </c>
    </row>
    <row r="24" spans="1:15" x14ac:dyDescent="0.25">
      <c r="A24" s="2" t="s">
        <v>882</v>
      </c>
      <c r="B24" s="4">
        <v>1.5</v>
      </c>
      <c r="C24" s="4" t="s">
        <v>859</v>
      </c>
      <c r="D24" s="4"/>
      <c r="E24" s="4"/>
      <c r="F24" s="4"/>
      <c r="G24" s="4" t="s">
        <v>872</v>
      </c>
      <c r="H24" s="4"/>
      <c r="I24" s="4">
        <v>213.98</v>
      </c>
      <c r="J24" s="4"/>
      <c r="K24" s="4"/>
      <c r="L24" s="4">
        <v>30</v>
      </c>
      <c r="M24" s="4" t="s">
        <v>747</v>
      </c>
      <c r="N24" s="4">
        <v>137</v>
      </c>
      <c r="O24" s="3">
        <v>0</v>
      </c>
    </row>
    <row r="25" spans="1:15" x14ac:dyDescent="0.25">
      <c r="A25" s="2" t="s">
        <v>883</v>
      </c>
      <c r="B25" s="4">
        <v>40.5</v>
      </c>
      <c r="C25" s="4" t="s">
        <v>841</v>
      </c>
      <c r="D25" s="4"/>
      <c r="E25" s="4"/>
      <c r="F25" s="4"/>
      <c r="G25" s="4" t="s">
        <v>884</v>
      </c>
      <c r="H25" s="4"/>
      <c r="I25" s="4"/>
      <c r="J25" s="4"/>
      <c r="K25" s="4"/>
      <c r="L25" s="4"/>
      <c r="M25" s="4" t="s">
        <v>747</v>
      </c>
      <c r="N25" s="4">
        <v>137</v>
      </c>
      <c r="O25" s="3">
        <f>=B25*(N25/100)*J25</f>
      </c>
    </row>
    <row r="26" spans="1:15" x14ac:dyDescent="0.25">
      <c r="A26" s="2" t="s">
        <v>885</v>
      </c>
      <c r="B26" s="4">
        <v>26</v>
      </c>
      <c r="C26" s="4" t="s">
        <v>841</v>
      </c>
      <c r="D26" s="4"/>
      <c r="E26" s="4"/>
      <c r="F26" s="4"/>
      <c r="G26" s="4" t="s">
        <v>886</v>
      </c>
      <c r="H26" s="4"/>
      <c r="I26" s="4"/>
      <c r="J26" s="4"/>
      <c r="K26" s="4"/>
      <c r="L26" s="4"/>
      <c r="M26" s="4" t="s">
        <v>747</v>
      </c>
      <c r="N26" s="4">
        <v>137</v>
      </c>
      <c r="O26" s="3">
        <f>=B26*(N26/100)*J26</f>
      </c>
    </row>
    <row r="27" spans="1:15" x14ac:dyDescent="0.25">
      <c r="A27" s="2" t="s">
        <v>887</v>
      </c>
      <c r="B27" s="4">
        <v>0</v>
      </c>
      <c r="C27" s="4" t="s">
        <v>841</v>
      </c>
      <c r="D27" s="4"/>
      <c r="E27" s="4"/>
      <c r="F27" s="4"/>
      <c r="G27" s="4" t="s">
        <v>888</v>
      </c>
      <c r="H27" s="4"/>
      <c r="I27" s="4"/>
      <c r="J27" s="4"/>
      <c r="K27" s="4"/>
      <c r="L27" s="4"/>
      <c r="M27" s="4" t="s">
        <v>747</v>
      </c>
      <c r="N27" s="4">
        <v>137</v>
      </c>
      <c r="O27" s="3">
        <f>=B27*(N27/100)*J27</f>
      </c>
    </row>
    <row r="28" spans="1:15" x14ac:dyDescent="0.25">
      <c r="A28" s="2" t="s">
        <v>889</v>
      </c>
      <c r="B28" s="4">
        <v>3</v>
      </c>
      <c r="C28" s="4" t="s">
        <v>841</v>
      </c>
      <c r="D28" s="4"/>
      <c r="E28" s="4"/>
      <c r="F28" s="4"/>
      <c r="G28" s="4" t="s">
        <v>868</v>
      </c>
      <c r="H28" s="4"/>
      <c r="I28" s="4"/>
      <c r="J28" s="4"/>
      <c r="K28" s="4"/>
      <c r="L28" s="4"/>
      <c r="M28" s="4" t="s">
        <v>747</v>
      </c>
      <c r="N28" s="4">
        <v>152</v>
      </c>
      <c r="O28" s="3">
        <f>=B28*(N28/100)*J28</f>
      </c>
    </row>
    <row r="29" spans="1:15" x14ac:dyDescent="0.25">
      <c r="A29" s="2" t="s">
        <v>890</v>
      </c>
      <c r="B29" s="4">
        <v>45</v>
      </c>
      <c r="C29" s="4" t="s">
        <v>841</v>
      </c>
      <c r="D29" s="4"/>
      <c r="E29" s="4"/>
      <c r="F29" s="4"/>
      <c r="G29" s="4" t="s">
        <v>842</v>
      </c>
      <c r="H29" s="4"/>
      <c r="I29" s="4"/>
      <c r="J29" s="4">
        <v>4.14</v>
      </c>
      <c r="K29" s="4"/>
      <c r="L29" s="4"/>
      <c r="M29" s="4" t="s">
        <v>747</v>
      </c>
      <c r="N29" s="4">
        <v>137</v>
      </c>
      <c r="O29" s="3">
        <f>=B29*(N29/100)*J29</f>
      </c>
    </row>
    <row r="30" spans="1:15" x14ac:dyDescent="0.25">
      <c r="A30" s="2" t="s">
        <v>891</v>
      </c>
      <c r="B30" s="4">
        <v>8</v>
      </c>
      <c r="C30" s="4" t="s">
        <v>841</v>
      </c>
      <c r="D30" s="4"/>
      <c r="E30" s="4"/>
      <c r="F30" s="4"/>
      <c r="G30" s="4" t="s">
        <v>844</v>
      </c>
      <c r="H30" s="4"/>
      <c r="I30" s="4"/>
      <c r="J30" s="4">
        <v>4.14</v>
      </c>
      <c r="K30" s="4"/>
      <c r="L30" s="4"/>
      <c r="M30" s="4" t="s">
        <v>747</v>
      </c>
      <c r="N30" s="4">
        <v>160</v>
      </c>
      <c r="O30" s="3">
        <f>=B30*(N30/100)*J30</f>
      </c>
    </row>
    <row r="31" spans="1:15" x14ac:dyDescent="0.25">
      <c r="A31" s="2" t="s">
        <v>892</v>
      </c>
      <c r="B31" s="4">
        <v>7</v>
      </c>
      <c r="C31" s="4" t="s">
        <v>841</v>
      </c>
      <c r="D31" s="4"/>
      <c r="E31" s="4"/>
      <c r="F31" s="4"/>
      <c r="G31" s="4" t="s">
        <v>844</v>
      </c>
      <c r="H31" s="4"/>
      <c r="I31" s="4"/>
      <c r="J31" s="4">
        <v>4.14</v>
      </c>
      <c r="K31" s="4"/>
      <c r="L31" s="4"/>
      <c r="M31" s="4" t="s">
        <v>747</v>
      </c>
      <c r="N31" s="4">
        <v>160</v>
      </c>
      <c r="O31" s="3">
        <f>=B31*(N31/100)*J31</f>
      </c>
    </row>
    <row r="32" spans="1:15" x14ac:dyDescent="0.25">
      <c r="A32" s="2" t="s">
        <v>893</v>
      </c>
      <c r="B32" s="4">
        <v>3</v>
      </c>
      <c r="C32" s="4"/>
      <c r="D32" s="4">
        <v>0</v>
      </c>
      <c r="E32" s="4" t="s">
        <v>102</v>
      </c>
      <c r="F32" s="4">
        <v>0</v>
      </c>
      <c r="G32" s="4" t="s">
        <v>894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102</v>
      </c>
      <c r="N32" s="4">
        <v>0</v>
      </c>
      <c r="O32" s="3">
        <f>=0</f>
      </c>
    </row>
    <row r="33" spans="1:15" x14ac:dyDescent="0.25">
      <c r="A33" s="2" t="s">
        <v>895</v>
      </c>
      <c r="B33" s="4">
        <v>5</v>
      </c>
      <c r="C33" s="4"/>
      <c r="D33" s="4">
        <v>0</v>
      </c>
      <c r="E33" s="4" t="s">
        <v>102</v>
      </c>
      <c r="F33" s="4">
        <v>0</v>
      </c>
      <c r="G33" s="4" t="s">
        <v>896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102</v>
      </c>
      <c r="N33" s="4">
        <v>0</v>
      </c>
      <c r="O33" s="3">
        <f>=0</f>
      </c>
    </row>
    <row r="34" spans="1:15" x14ac:dyDescent="0.25">
      <c r="A34" s="2" t="s">
        <v>897</v>
      </c>
      <c r="B34" s="4">
        <v>50</v>
      </c>
      <c r="C34" s="4"/>
      <c r="D34" s="4">
        <v>0</v>
      </c>
      <c r="E34" s="4" t="s">
        <v>102</v>
      </c>
      <c r="F34" s="4">
        <v>0</v>
      </c>
      <c r="G34" s="4" t="s">
        <v>842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102</v>
      </c>
      <c r="N34" s="4">
        <v>0</v>
      </c>
      <c r="O34" s="3">
        <f>=0</f>
      </c>
    </row>
    <row r="35" spans="1:15" x14ac:dyDescent="0.25">
      <c r="A35" s="2" t="s">
        <v>898</v>
      </c>
      <c r="B35" s="4">
        <v>9</v>
      </c>
      <c r="C35" s="4"/>
      <c r="D35" s="4">
        <v>0</v>
      </c>
      <c r="E35" s="4" t="s">
        <v>102</v>
      </c>
      <c r="F35" s="4">
        <v>0</v>
      </c>
      <c r="G35" s="4" t="s">
        <v>899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102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900</v>
      </c>
      <c r="B2" s="4">
        <v>0</v>
      </c>
      <c r="C2" s="4" t="s">
        <v>745</v>
      </c>
      <c r="D2" s="4"/>
      <c r="E2" s="4"/>
      <c r="F2" s="4"/>
      <c r="G2" s="4" t="s">
        <v>901</v>
      </c>
      <c r="H2" s="4">
        <v>0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902</v>
      </c>
      <c r="B3" s="4">
        <v>0</v>
      </c>
      <c r="C3" s="4" t="s">
        <v>745</v>
      </c>
      <c r="D3" s="4"/>
      <c r="E3" s="4"/>
      <c r="F3" s="4"/>
      <c r="G3" s="4" t="s">
        <v>903</v>
      </c>
      <c r="H3" s="4">
        <v>29.49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904</v>
      </c>
      <c r="B4" s="4">
        <v>0</v>
      </c>
      <c r="C4" s="4" t="s">
        <v>745</v>
      </c>
      <c r="D4" s="4"/>
      <c r="E4" s="4"/>
      <c r="F4" s="4"/>
      <c r="G4" s="4" t="s">
        <v>905</v>
      </c>
      <c r="H4" s="4">
        <v>29.49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906</v>
      </c>
      <c r="B5" s="4">
        <v>0</v>
      </c>
      <c r="C5" s="4" t="s">
        <v>745</v>
      </c>
      <c r="D5" s="4"/>
      <c r="E5" s="4"/>
      <c r="F5" s="4"/>
      <c r="G5" s="4" t="s">
        <v>907</v>
      </c>
      <c r="H5" s="4">
        <v>29.49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908</v>
      </c>
      <c r="B6" s="4">
        <v>3.9</v>
      </c>
      <c r="C6" s="4" t="s">
        <v>745</v>
      </c>
      <c r="D6" s="4"/>
      <c r="E6" s="4"/>
      <c r="F6" s="4"/>
      <c r="G6" s="4" t="s">
        <v>909</v>
      </c>
      <c r="H6" s="4">
        <v>29.49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910</v>
      </c>
      <c r="B7" s="4">
        <v>1.09</v>
      </c>
      <c r="C7" s="4" t="s">
        <v>745</v>
      </c>
      <c r="D7" s="4"/>
      <c r="E7" s="4"/>
      <c r="F7" s="4"/>
      <c r="G7" s="4" t="s">
        <v>909</v>
      </c>
      <c r="H7" s="4">
        <v>29.49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911</v>
      </c>
      <c r="B8" s="4">
        <v>1.96</v>
      </c>
      <c r="C8" s="4" t="s">
        <v>745</v>
      </c>
      <c r="D8" s="4"/>
      <c r="E8" s="4"/>
      <c r="F8" s="4"/>
      <c r="G8" s="4" t="s">
        <v>909</v>
      </c>
      <c r="H8" s="4">
        <v>29.49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912</v>
      </c>
      <c r="B9" s="4">
        <v>3.47</v>
      </c>
      <c r="C9" s="4" t="s">
        <v>745</v>
      </c>
      <c r="D9" s="4"/>
      <c r="E9" s="4"/>
      <c r="F9" s="4"/>
      <c r="G9" s="4" t="s">
        <v>909</v>
      </c>
      <c r="H9" s="4">
        <v>29.49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913</v>
      </c>
      <c r="B10" s="4">
        <v>0</v>
      </c>
      <c r="C10" s="4" t="s">
        <v>745</v>
      </c>
      <c r="D10" s="4"/>
      <c r="E10" s="4"/>
      <c r="F10" s="4"/>
      <c r="G10" s="4" t="s">
        <v>914</v>
      </c>
      <c r="H10" s="4">
        <v>29.49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915</v>
      </c>
      <c r="B11" s="4">
        <v>0</v>
      </c>
      <c r="C11" s="4" t="s">
        <v>745</v>
      </c>
      <c r="D11" s="4"/>
      <c r="E11" s="4"/>
      <c r="F11" s="4"/>
      <c r="G11" s="4" t="s">
        <v>916</v>
      </c>
      <c r="H11" s="4">
        <v>29.49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917</v>
      </c>
      <c r="B12" s="4">
        <v>0</v>
      </c>
      <c r="C12" s="4" t="s">
        <v>745</v>
      </c>
      <c r="D12" s="4"/>
      <c r="E12" s="4"/>
      <c r="F12" s="4"/>
      <c r="G12" s="4" t="s">
        <v>918</v>
      </c>
      <c r="H12" s="4">
        <v>29.49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919</v>
      </c>
      <c r="B13" s="4">
        <v>0</v>
      </c>
      <c r="C13" s="4" t="s">
        <v>745</v>
      </c>
      <c r="D13" s="4"/>
      <c r="E13" s="4"/>
      <c r="F13" s="4"/>
      <c r="G13" s="4" t="s">
        <v>920</v>
      </c>
      <c r="H13" s="4">
        <v>29.49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921</v>
      </c>
      <c r="B14" s="4">
        <v>0</v>
      </c>
      <c r="C14" s="4" t="s">
        <v>745</v>
      </c>
      <c r="D14" s="4"/>
      <c r="E14" s="4"/>
      <c r="F14" s="4"/>
      <c r="G14" s="4" t="s">
        <v>922</v>
      </c>
      <c r="H14" s="4">
        <v>29.49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923</v>
      </c>
      <c r="B15" s="4">
        <v>10</v>
      </c>
      <c r="C15" s="4" t="s">
        <v>745</v>
      </c>
      <c r="D15" s="4"/>
      <c r="E15" s="4"/>
      <c r="F15" s="4"/>
      <c r="G15" s="4" t="s">
        <v>924</v>
      </c>
      <c r="H15" s="4">
        <v>29.49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925</v>
      </c>
      <c r="B16" s="4">
        <v>0</v>
      </c>
      <c r="C16" s="4" t="s">
        <v>745</v>
      </c>
      <c r="D16" s="4"/>
      <c r="E16" s="4"/>
      <c r="F16" s="4"/>
      <c r="G16" s="4" t="s">
        <v>926</v>
      </c>
      <c r="H16" s="4">
        <v>29.49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927</v>
      </c>
      <c r="B17" s="4">
        <v>1.68</v>
      </c>
      <c r="C17" s="4" t="s">
        <v>745</v>
      </c>
      <c r="D17" s="4"/>
      <c r="E17" s="4" t="s">
        <v>928</v>
      </c>
      <c r="F17" s="4"/>
      <c r="G17" s="4" t="s">
        <v>929</v>
      </c>
      <c r="H17" s="4">
        <v>29.19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930</v>
      </c>
      <c r="B18" s="4">
        <v>0</v>
      </c>
      <c r="C18" s="4" t="s">
        <v>745</v>
      </c>
      <c r="D18" s="4"/>
      <c r="E18" s="4"/>
      <c r="F18" s="4"/>
      <c r="G18" s="4" t="s">
        <v>929</v>
      </c>
      <c r="H18" s="4">
        <v>29.49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931</v>
      </c>
      <c r="B19" s="4">
        <v>0</v>
      </c>
      <c r="C19" s="4" t="s">
        <v>745</v>
      </c>
      <c r="D19" s="4"/>
      <c r="E19" s="4"/>
      <c r="F19" s="4"/>
      <c r="G19" s="4" t="s">
        <v>929</v>
      </c>
      <c r="H19" s="4">
        <v>29.49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932</v>
      </c>
      <c r="B20" s="4">
        <v>0</v>
      </c>
      <c r="C20" s="4" t="s">
        <v>745</v>
      </c>
      <c r="D20" s="4"/>
      <c r="E20" s="4"/>
      <c r="F20" s="4"/>
      <c r="G20" s="4" t="s">
        <v>929</v>
      </c>
      <c r="H20" s="4">
        <v>29.49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933</v>
      </c>
      <c r="B21" s="4">
        <v>0</v>
      </c>
      <c r="C21" s="4" t="s">
        <v>745</v>
      </c>
      <c r="D21" s="4"/>
      <c r="E21" s="4"/>
      <c r="F21" s="4"/>
      <c r="G21" s="4" t="s">
        <v>934</v>
      </c>
      <c r="H21" s="4">
        <v>29.49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935</v>
      </c>
      <c r="B22" s="4">
        <v>2.02</v>
      </c>
      <c r="C22" s="4" t="s">
        <v>745</v>
      </c>
      <c r="D22" s="4"/>
      <c r="E22" s="4"/>
      <c r="F22" s="4"/>
      <c r="G22" s="4" t="s">
        <v>936</v>
      </c>
      <c r="H22" s="4">
        <v>29.49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 t="s">
        <v>937</v>
      </c>
      <c r="B23" s="4">
        <v>0</v>
      </c>
      <c r="C23" s="4" t="s">
        <v>745</v>
      </c>
      <c r="D23" s="4"/>
      <c r="E23" s="4"/>
      <c r="F23" s="4"/>
      <c r="G23" s="4" t="s">
        <v>938</v>
      </c>
      <c r="H23" s="4">
        <v>121.89</v>
      </c>
      <c r="I23" s="4"/>
      <c r="J23" s="4"/>
      <c r="K23" s="4"/>
      <c r="L23" s="4"/>
      <c r="M23" s="4" t="s">
        <v>747</v>
      </c>
      <c r="N23" s="4"/>
      <c r="O23" s="3">
        <f>=B23*H23</f>
      </c>
    </row>
    <row r="24" spans="1:15" x14ac:dyDescent="0.25">
      <c r="A24" s="2" t="s">
        <v>939</v>
      </c>
      <c r="B24" s="4">
        <v>0</v>
      </c>
      <c r="C24" s="4" t="s">
        <v>745</v>
      </c>
      <c r="D24" s="4"/>
      <c r="E24" s="4"/>
      <c r="F24" s="4"/>
      <c r="G24" s="4" t="s">
        <v>938</v>
      </c>
      <c r="H24" s="4">
        <v>121.89</v>
      </c>
      <c r="I24" s="4"/>
      <c r="J24" s="4"/>
      <c r="K24" s="4"/>
      <c r="L24" s="4"/>
      <c r="M24" s="4" t="s">
        <v>747</v>
      </c>
      <c r="N24" s="4"/>
      <c r="O24" s="3">
        <f>=B24*H24</f>
      </c>
    </row>
    <row r="25" spans="1:15" x14ac:dyDescent="0.25">
      <c r="A25" s="2" t="s">
        <v>940</v>
      </c>
      <c r="B25" s="4">
        <v>0</v>
      </c>
      <c r="C25" s="4" t="s">
        <v>745</v>
      </c>
      <c r="D25" s="4"/>
      <c r="E25" s="4"/>
      <c r="F25" s="4"/>
      <c r="G25" s="4" t="s">
        <v>941</v>
      </c>
      <c r="H25" s="4">
        <v>29.49</v>
      </c>
      <c r="I25" s="4"/>
      <c r="J25" s="4"/>
      <c r="K25" s="4"/>
      <c r="L25" s="4"/>
      <c r="M25" s="4" t="s">
        <v>747</v>
      </c>
      <c r="N25" s="4"/>
      <c r="O25" s="3">
        <f>=B25*H25</f>
      </c>
    </row>
    <row r="26" spans="1:15" x14ac:dyDescent="0.25">
      <c r="A26" s="2" t="s">
        <v>942</v>
      </c>
      <c r="B26" s="4">
        <v>0</v>
      </c>
      <c r="C26" s="4" t="s">
        <v>745</v>
      </c>
      <c r="D26" s="4"/>
      <c r="E26" s="4"/>
      <c r="F26" s="4"/>
      <c r="G26" s="4" t="s">
        <v>943</v>
      </c>
      <c r="H26" s="4">
        <v>52.63</v>
      </c>
      <c r="I26" s="4"/>
      <c r="J26" s="4"/>
      <c r="K26" s="4"/>
      <c r="L26" s="4"/>
      <c r="M26" s="4" t="s">
        <v>747</v>
      </c>
      <c r="N26" s="4"/>
      <c r="O26" s="3">
        <f>=B26*H26</f>
      </c>
    </row>
    <row r="27" spans="1:15" x14ac:dyDescent="0.25">
      <c r="A27" s="2" t="s">
        <v>944</v>
      </c>
      <c r="B27" s="4">
        <v>3.5</v>
      </c>
      <c r="C27" s="4" t="s">
        <v>745</v>
      </c>
      <c r="D27" s="4"/>
      <c r="E27" s="4"/>
      <c r="F27" s="4"/>
      <c r="G27" s="4" t="s">
        <v>945</v>
      </c>
      <c r="H27" s="4">
        <v>81.55</v>
      </c>
      <c r="I27" s="4"/>
      <c r="J27" s="4"/>
      <c r="K27" s="4"/>
      <c r="L27" s="4"/>
      <c r="M27" s="4" t="s">
        <v>747</v>
      </c>
      <c r="N27" s="4"/>
      <c r="O27" s="3">
        <f>=B27*H27</f>
      </c>
    </row>
    <row r="28" spans="1:15" x14ac:dyDescent="0.25">
      <c r="A28" s="2" t="s">
        <v>946</v>
      </c>
      <c r="B28" s="4">
        <v>5</v>
      </c>
      <c r="C28" s="4" t="s">
        <v>745</v>
      </c>
      <c r="D28" s="4"/>
      <c r="E28" s="4"/>
      <c r="F28" s="4"/>
      <c r="G28" s="4" t="s">
        <v>947</v>
      </c>
      <c r="H28" s="4">
        <v>81.55</v>
      </c>
      <c r="I28" s="4"/>
      <c r="J28" s="4"/>
      <c r="K28" s="4"/>
      <c r="L28" s="4"/>
      <c r="M28" s="4" t="s">
        <v>747</v>
      </c>
      <c r="N28" s="4"/>
      <c r="O28" s="3">
        <f>=B28*H28</f>
      </c>
    </row>
    <row r="29" spans="1:15" x14ac:dyDescent="0.25">
      <c r="A29" s="2" t="s">
        <v>948</v>
      </c>
      <c r="B29" s="4">
        <v>0</v>
      </c>
      <c r="C29" s="4" t="s">
        <v>745</v>
      </c>
      <c r="D29" s="4"/>
      <c r="E29" s="4"/>
      <c r="F29" s="4"/>
      <c r="G29" s="4" t="s">
        <v>949</v>
      </c>
      <c r="H29" s="4">
        <v>81.55</v>
      </c>
      <c r="I29" s="4"/>
      <c r="J29" s="4"/>
      <c r="K29" s="4"/>
      <c r="L29" s="4"/>
      <c r="M29" s="4" t="s">
        <v>747</v>
      </c>
      <c r="N29" s="4"/>
      <c r="O29" s="3">
        <f>=B29*H29</f>
      </c>
    </row>
    <row r="30" spans="1:15" x14ac:dyDescent="0.25">
      <c r="A30" s="2" t="s">
        <v>950</v>
      </c>
      <c r="B30" s="4">
        <v>1.53</v>
      </c>
      <c r="C30" s="4" t="s">
        <v>745</v>
      </c>
      <c r="D30" s="4"/>
      <c r="E30" s="4"/>
      <c r="F30" s="4"/>
      <c r="G30" s="4" t="s">
        <v>951</v>
      </c>
      <c r="H30" s="4">
        <v>81.55</v>
      </c>
      <c r="I30" s="4"/>
      <c r="J30" s="4"/>
      <c r="K30" s="4"/>
      <c r="L30" s="4"/>
      <c r="M30" s="4" t="s">
        <v>747</v>
      </c>
      <c r="N30" s="4"/>
      <c r="O30" s="3">
        <f>=B30*H30</f>
      </c>
    </row>
    <row r="31" spans="1:15" x14ac:dyDescent="0.25">
      <c r="A31" s="2" t="s">
        <v>952</v>
      </c>
      <c r="B31" s="4">
        <v>2</v>
      </c>
      <c r="C31" s="4" t="s">
        <v>745</v>
      </c>
      <c r="D31" s="4"/>
      <c r="E31" s="4"/>
      <c r="F31" s="4"/>
      <c r="G31" s="4" t="s">
        <v>953</v>
      </c>
      <c r="H31" s="4">
        <v>17.93</v>
      </c>
      <c r="I31" s="4"/>
      <c r="J31" s="4"/>
      <c r="K31" s="4"/>
      <c r="L31" s="4"/>
      <c r="M31" s="4" t="s">
        <v>747</v>
      </c>
      <c r="N31" s="4"/>
      <c r="O31" s="3">
        <f>=B31*H31</f>
      </c>
    </row>
    <row r="32" spans="1:15" x14ac:dyDescent="0.25">
      <c r="A32" s="2" t="s">
        <v>954</v>
      </c>
      <c r="B32" s="4">
        <v>0</v>
      </c>
      <c r="C32" s="4" t="s">
        <v>745</v>
      </c>
      <c r="D32" s="4"/>
      <c r="E32" s="4"/>
      <c r="F32" s="4"/>
      <c r="G32" s="4" t="s">
        <v>955</v>
      </c>
      <c r="H32" s="4">
        <v>0</v>
      </c>
      <c r="I32" s="4"/>
      <c r="J32" s="4"/>
      <c r="K32" s="4"/>
      <c r="L32" s="4"/>
      <c r="M32" s="4" t="s">
        <v>747</v>
      </c>
      <c r="N32" s="4"/>
      <c r="O32" s="3">
        <f>=B32*H32</f>
      </c>
    </row>
    <row r="33" spans="1:15" x14ac:dyDescent="0.25">
      <c r="A33" s="2" t="s">
        <v>956</v>
      </c>
      <c r="B33" s="4">
        <v>20</v>
      </c>
      <c r="C33" s="4" t="s">
        <v>745</v>
      </c>
      <c r="D33" s="4"/>
      <c r="E33" s="4"/>
      <c r="F33" s="4"/>
      <c r="G33" s="4" t="s">
        <v>957</v>
      </c>
      <c r="H33" s="4">
        <v>0</v>
      </c>
      <c r="I33" s="4"/>
      <c r="J33" s="4"/>
      <c r="K33" s="4"/>
      <c r="L33" s="4"/>
      <c r="M33" s="4" t="s">
        <v>747</v>
      </c>
      <c r="N33" s="4"/>
      <c r="O33" s="3">
        <f>=B33*H33</f>
      </c>
    </row>
    <row r="34" spans="1:15" x14ac:dyDescent="0.25">
      <c r="A34" s="2" t="s">
        <v>958</v>
      </c>
      <c r="B34" s="4">
        <v>0.9</v>
      </c>
      <c r="C34" s="4"/>
      <c r="D34" s="4">
        <v>0</v>
      </c>
      <c r="E34" s="4" t="s">
        <v>102</v>
      </c>
      <c r="F34" s="4">
        <v>0</v>
      </c>
      <c r="G34" s="4" t="s">
        <v>959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765</v>
      </c>
      <c r="N34" s="4">
        <v>0</v>
      </c>
      <c r="O34" s="3">
        <f>=0</f>
      </c>
    </row>
    <row r="35" spans="1:15" x14ac:dyDescent="0.25">
      <c r="A35" s="2" t="s">
        <v>960</v>
      </c>
      <c r="B35" s="4">
        <v>3.02</v>
      </c>
      <c r="C35" s="4"/>
      <c r="D35" s="4">
        <v>0</v>
      </c>
      <c r="E35" s="4" t="s">
        <v>102</v>
      </c>
      <c r="F35" s="4">
        <v>0</v>
      </c>
      <c r="G35" s="4" t="s">
        <v>924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765</v>
      </c>
      <c r="N35" s="4">
        <v>0</v>
      </c>
      <c r="O35" s="3">
        <f>=0</f>
      </c>
    </row>
    <row r="36" spans="1:15" x14ac:dyDescent="0.25">
      <c r="A36" s="2" t="s">
        <v>961</v>
      </c>
      <c r="B36" s="4">
        <v>4.81</v>
      </c>
      <c r="C36" s="4"/>
      <c r="D36" s="4">
        <v>0</v>
      </c>
      <c r="E36" s="4" t="s">
        <v>102</v>
      </c>
      <c r="F36" s="4">
        <v>0</v>
      </c>
      <c r="G36" s="4" t="s">
        <v>962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765</v>
      </c>
      <c r="N36" s="4">
        <v>0</v>
      </c>
      <c r="O36" s="3">
        <f>=0</f>
      </c>
    </row>
    <row r="37" spans="1:15" x14ac:dyDescent="0.25">
      <c r="A37" s="2" t="s">
        <v>963</v>
      </c>
      <c r="B37" s="4">
        <v>3.02</v>
      </c>
      <c r="C37" s="4"/>
      <c r="D37" s="4">
        <v>0</v>
      </c>
      <c r="E37" s="4" t="s">
        <v>102</v>
      </c>
      <c r="F37" s="4">
        <v>0</v>
      </c>
      <c r="G37" s="4" t="s">
        <v>964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765</v>
      </c>
      <c r="N37" s="4">
        <v>0</v>
      </c>
      <c r="O37" s="3">
        <f>=0</f>
      </c>
    </row>
    <row r="38" spans="1:15" x14ac:dyDescent="0.25">
      <c r="A38" s="2" t="s">
        <v>965</v>
      </c>
      <c r="B38" s="4">
        <v>2.67</v>
      </c>
      <c r="C38" s="4"/>
      <c r="D38" s="4">
        <v>0</v>
      </c>
      <c r="E38" s="4" t="s">
        <v>102</v>
      </c>
      <c r="F38" s="4">
        <v>0</v>
      </c>
      <c r="G38" s="4" t="s">
        <v>966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765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967</v>
      </c>
      <c r="B2" s="4">
        <v>4</v>
      </c>
      <c r="C2" s="4" t="s">
        <v>16</v>
      </c>
      <c r="D2" s="4"/>
      <c r="E2" s="4"/>
      <c r="F2" s="4"/>
      <c r="G2" s="4" t="s">
        <v>968</v>
      </c>
      <c r="H2" s="4"/>
      <c r="I2" s="4">
        <v>14.65</v>
      </c>
      <c r="J2" s="4"/>
      <c r="K2" s="4"/>
      <c r="L2" s="4"/>
      <c r="M2" s="4" t="s">
        <v>969</v>
      </c>
      <c r="N2" s="4"/>
      <c r="O2" s="3">
        <f>=B2*I2</f>
      </c>
    </row>
    <row r="3" spans="1:15" x14ac:dyDescent="0.25">
      <c r="A3" s="2" t="s">
        <v>970</v>
      </c>
      <c r="B3" s="4">
        <v>9</v>
      </c>
      <c r="C3" s="4" t="s">
        <v>16</v>
      </c>
      <c r="D3" s="4"/>
      <c r="E3" s="4"/>
      <c r="F3" s="4"/>
      <c r="G3" s="4" t="s">
        <v>971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972</v>
      </c>
      <c r="B4" s="4">
        <v>32</v>
      </c>
      <c r="C4" s="4" t="s">
        <v>16</v>
      </c>
      <c r="D4" s="4"/>
      <c r="E4" s="4" t="s">
        <v>102</v>
      </c>
      <c r="F4" s="4"/>
      <c r="G4" s="4" t="s">
        <v>973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974</v>
      </c>
      <c r="B5" s="4">
        <v>9</v>
      </c>
      <c r="C5" s="4" t="s">
        <v>16</v>
      </c>
      <c r="D5" s="4"/>
      <c r="E5" s="4"/>
      <c r="F5" s="4"/>
      <c r="G5" s="4" t="s">
        <v>975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976</v>
      </c>
      <c r="B6" s="4">
        <v>26</v>
      </c>
      <c r="C6" s="4" t="s">
        <v>16</v>
      </c>
      <c r="D6" s="4"/>
      <c r="E6" s="4"/>
      <c r="F6" s="4"/>
      <c r="G6" s="4" t="s">
        <v>977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978</v>
      </c>
      <c r="B7" s="4">
        <v>26</v>
      </c>
      <c r="C7" s="4" t="s">
        <v>16</v>
      </c>
      <c r="D7" s="4"/>
      <c r="E7" s="4" t="s">
        <v>102</v>
      </c>
      <c r="F7" s="4"/>
      <c r="G7" s="4" t="s">
        <v>979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980</v>
      </c>
      <c r="B8" s="4">
        <v>5</v>
      </c>
      <c r="C8" s="4"/>
      <c r="D8" s="4">
        <v>0</v>
      </c>
      <c r="E8" s="4" t="s">
        <v>102</v>
      </c>
      <c r="F8" s="4">
        <v>0</v>
      </c>
      <c r="G8" s="4" t="s">
        <v>981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982</v>
      </c>
      <c r="B2" s="4">
        <v>2</v>
      </c>
      <c r="C2" s="4" t="s">
        <v>745</v>
      </c>
      <c r="D2" s="4"/>
      <c r="E2" s="4"/>
      <c r="F2" s="4"/>
      <c r="G2" s="4" t="s">
        <v>983</v>
      </c>
      <c r="H2" s="4">
        <v>10.55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984</v>
      </c>
      <c r="B3" s="4">
        <v>0</v>
      </c>
      <c r="C3" s="4" t="s">
        <v>745</v>
      </c>
      <c r="D3" s="4"/>
      <c r="E3" s="4"/>
      <c r="F3" s="4"/>
      <c r="G3" s="4" t="s">
        <v>983</v>
      </c>
      <c r="H3" s="4">
        <v>10.55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985</v>
      </c>
      <c r="B4" s="4">
        <v>1.3</v>
      </c>
      <c r="C4" s="4" t="s">
        <v>745</v>
      </c>
      <c r="D4" s="4"/>
      <c r="E4" s="4"/>
      <c r="F4" s="4"/>
      <c r="G4" s="4" t="s">
        <v>986</v>
      </c>
      <c r="H4" s="4">
        <v>10.55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987</v>
      </c>
      <c r="B2" s="4">
        <v>4</v>
      </c>
      <c r="C2" s="4" t="s">
        <v>16</v>
      </c>
      <c r="D2" s="4"/>
      <c r="E2" s="4" t="s">
        <v>988</v>
      </c>
      <c r="F2" s="4"/>
      <c r="G2" s="4" t="s">
        <v>989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990</v>
      </c>
      <c r="B3" s="4">
        <v>1</v>
      </c>
      <c r="C3" s="4" t="s">
        <v>16</v>
      </c>
      <c r="D3" s="4"/>
      <c r="E3" s="4" t="s">
        <v>991</v>
      </c>
      <c r="F3" s="4"/>
      <c r="G3" s="4" t="s">
        <v>992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993</v>
      </c>
      <c r="B4" s="4">
        <v>6</v>
      </c>
      <c r="C4" s="4" t="s">
        <v>16</v>
      </c>
      <c r="D4" s="4"/>
      <c r="E4" s="4" t="s">
        <v>994</v>
      </c>
      <c r="F4" s="4"/>
      <c r="G4" s="4" t="s">
        <v>992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995</v>
      </c>
      <c r="B5" s="4">
        <v>1</v>
      </c>
      <c r="C5" s="4" t="s">
        <v>16</v>
      </c>
      <c r="D5" s="4"/>
      <c r="E5" s="4" t="s">
        <v>996</v>
      </c>
      <c r="F5" s="4"/>
      <c r="G5" s="4" t="s">
        <v>992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997</v>
      </c>
      <c r="B6" s="4">
        <v>6</v>
      </c>
      <c r="C6" s="4" t="s">
        <v>16</v>
      </c>
      <c r="D6" s="4"/>
      <c r="E6" s="4"/>
      <c r="F6" s="4"/>
      <c r="G6" s="4" t="s">
        <v>998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999</v>
      </c>
      <c r="B7" s="4">
        <v>0</v>
      </c>
      <c r="C7" s="4" t="s">
        <v>16</v>
      </c>
      <c r="D7" s="4"/>
      <c r="E7" s="4"/>
      <c r="F7" s="4"/>
      <c r="G7" s="4" t="s">
        <v>1000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1001</v>
      </c>
      <c r="B8" s="4">
        <v>2</v>
      </c>
      <c r="C8" s="4" t="s">
        <v>16</v>
      </c>
      <c r="D8" s="4"/>
      <c r="E8" s="4"/>
      <c r="F8" s="4"/>
      <c r="G8" s="4" t="s">
        <v>1002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1003</v>
      </c>
      <c r="B9" s="4">
        <v>1</v>
      </c>
      <c r="C9" s="4" t="s">
        <v>16</v>
      </c>
      <c r="D9" s="4"/>
      <c r="E9" s="4"/>
      <c r="F9" s="4"/>
      <c r="G9" s="4" t="s">
        <v>1004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1005</v>
      </c>
      <c r="B10" s="4">
        <v>13</v>
      </c>
      <c r="C10" s="4" t="s">
        <v>16</v>
      </c>
      <c r="D10" s="4"/>
      <c r="E10" s="4"/>
      <c r="F10" s="4"/>
      <c r="G10" s="4" t="s">
        <v>1006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1007</v>
      </c>
      <c r="B11" s="4">
        <v>2</v>
      </c>
      <c r="C11" s="4" t="s">
        <v>16</v>
      </c>
      <c r="D11" s="4"/>
      <c r="E11" s="4"/>
      <c r="F11" s="4"/>
      <c r="G11" s="4" t="s">
        <v>1008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1009</v>
      </c>
      <c r="B12" s="4">
        <v>0</v>
      </c>
      <c r="C12" s="4" t="s">
        <v>16</v>
      </c>
      <c r="D12" s="4"/>
      <c r="E12" s="4" t="s">
        <v>102</v>
      </c>
      <c r="F12" s="4"/>
      <c r="G12" s="4" t="s">
        <v>1010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1011</v>
      </c>
      <c r="B2" s="4">
        <v>4.5</v>
      </c>
      <c r="C2" s="4" t="s">
        <v>745</v>
      </c>
      <c r="D2" s="4"/>
      <c r="E2" s="4" t="s">
        <v>1012</v>
      </c>
      <c r="F2" s="4"/>
      <c r="G2" s="4" t="s">
        <v>1013</v>
      </c>
      <c r="H2" s="4"/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1014</v>
      </c>
      <c r="B3" s="4"/>
      <c r="C3" s="4" t="s">
        <v>745</v>
      </c>
      <c r="D3" s="4"/>
      <c r="E3" s="4"/>
      <c r="F3" s="4"/>
      <c r="G3" s="4" t="s">
        <v>1013</v>
      </c>
      <c r="H3" s="4"/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1015</v>
      </c>
      <c r="B4" s="4">
        <v>0</v>
      </c>
      <c r="C4" s="4" t="s">
        <v>745</v>
      </c>
      <c r="D4" s="4"/>
      <c r="E4" s="4"/>
      <c r="F4" s="4"/>
      <c r="G4" s="4" t="s">
        <v>1016</v>
      </c>
      <c r="H4" s="4">
        <v>14.17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1017</v>
      </c>
      <c r="B5" s="4">
        <v>0</v>
      </c>
      <c r="C5" s="4" t="s">
        <v>745</v>
      </c>
      <c r="D5" s="4"/>
      <c r="E5" s="4"/>
      <c r="F5" s="4"/>
      <c r="G5" s="4" t="s">
        <v>1016</v>
      </c>
      <c r="H5" s="4">
        <v>14.17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1018</v>
      </c>
      <c r="B6" s="4">
        <v>2</v>
      </c>
      <c r="C6" s="4" t="s">
        <v>745</v>
      </c>
      <c r="D6" s="4"/>
      <c r="E6" s="4" t="s">
        <v>1012</v>
      </c>
      <c r="F6" s="4"/>
      <c r="G6" s="4" t="s">
        <v>1019</v>
      </c>
      <c r="H6" s="4">
        <v>4.66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1020</v>
      </c>
      <c r="B7" s="4">
        <v>30</v>
      </c>
      <c r="C7" s="4" t="s">
        <v>745</v>
      </c>
      <c r="D7" s="4"/>
      <c r="E7" s="4" t="s">
        <v>1012</v>
      </c>
      <c r="F7" s="4"/>
      <c r="G7" s="4" t="s">
        <v>1019</v>
      </c>
      <c r="H7" s="4">
        <v>4.66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1021</v>
      </c>
      <c r="B8" s="4">
        <v>0</v>
      </c>
      <c r="C8" s="4" t="s">
        <v>745</v>
      </c>
      <c r="D8" s="4"/>
      <c r="E8" s="4"/>
      <c r="F8" s="4"/>
      <c r="G8" s="4" t="s">
        <v>1019</v>
      </c>
      <c r="H8" s="4">
        <v>4.66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1022</v>
      </c>
      <c r="B9" s="4">
        <v>0</v>
      </c>
      <c r="C9" s="4" t="s">
        <v>745</v>
      </c>
      <c r="D9" s="4"/>
      <c r="E9" s="4"/>
      <c r="F9" s="4"/>
      <c r="G9" s="4" t="s">
        <v>1019</v>
      </c>
      <c r="H9" s="4">
        <v>4.66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1023</v>
      </c>
      <c r="B10" s="4">
        <v>0</v>
      </c>
      <c r="C10" s="4" t="s">
        <v>745</v>
      </c>
      <c r="D10" s="4"/>
      <c r="E10" s="4"/>
      <c r="F10" s="4"/>
      <c r="G10" s="4" t="s">
        <v>1019</v>
      </c>
      <c r="H10" s="4">
        <v>4.66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1024</v>
      </c>
      <c r="B11" s="4">
        <v>10</v>
      </c>
      <c r="C11" s="4" t="s">
        <v>745</v>
      </c>
      <c r="D11" s="4"/>
      <c r="E11" s="4" t="s">
        <v>928</v>
      </c>
      <c r="F11" s="4"/>
      <c r="G11" s="4" t="s">
        <v>1025</v>
      </c>
      <c r="H11" s="4">
        <v>5.45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1026</v>
      </c>
      <c r="B12" s="4">
        <v>2.24</v>
      </c>
      <c r="C12" s="4" t="s">
        <v>745</v>
      </c>
      <c r="D12" s="4"/>
      <c r="E12" s="4" t="s">
        <v>928</v>
      </c>
      <c r="F12" s="4"/>
      <c r="G12" s="4" t="s">
        <v>1025</v>
      </c>
      <c r="H12" s="4">
        <v>5.45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1027</v>
      </c>
      <c r="B13" s="4">
        <v>0</v>
      </c>
      <c r="C13" s="4" t="s">
        <v>745</v>
      </c>
      <c r="D13" s="4"/>
      <c r="E13" s="4"/>
      <c r="F13" s="4"/>
      <c r="G13" s="4" t="s">
        <v>1025</v>
      </c>
      <c r="H13" s="4">
        <v>5.45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1028</v>
      </c>
      <c r="B2" s="4">
        <v>370</v>
      </c>
      <c r="C2" s="4" t="s">
        <v>16</v>
      </c>
      <c r="D2" s="4"/>
      <c r="E2" s="4" t="s">
        <v>1029</v>
      </c>
      <c r="F2" s="4"/>
      <c r="G2" s="4" t="s">
        <v>1030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1031</v>
      </c>
      <c r="B3" s="4">
        <v>234</v>
      </c>
      <c r="C3" s="4" t="s">
        <v>16</v>
      </c>
      <c r="D3" s="4"/>
      <c r="E3" s="4" t="s">
        <v>1032</v>
      </c>
      <c r="F3" s="4"/>
      <c r="G3" s="4" t="s">
        <v>1033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1034</v>
      </c>
      <c r="B4" s="4">
        <v>332</v>
      </c>
      <c r="C4" s="4" t="s">
        <v>16</v>
      </c>
      <c r="D4" s="4"/>
      <c r="E4" s="4" t="s">
        <v>1032</v>
      </c>
      <c r="F4" s="4"/>
      <c r="G4" s="4" t="s">
        <v>1033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1035</v>
      </c>
      <c r="B5" s="4">
        <v>0</v>
      </c>
      <c r="C5" s="4" t="s">
        <v>16</v>
      </c>
      <c r="D5" s="4"/>
      <c r="E5" s="4"/>
      <c r="F5" s="4"/>
      <c r="G5" s="4" t="s">
        <v>1036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1037</v>
      </c>
      <c r="B1" s="8" t="s">
        <v>1038</v>
      </c>
      <c r="C1" s="9" t="s">
        <v>25</v>
      </c>
    </row>
    <row r="2" spans="1:3" x14ac:dyDescent="0.25">
      <c r="A2" s="10" t="s">
        <v>1039</v>
      </c>
      <c r="B2" s="10" t="s">
        <v>1040</v>
      </c>
      <c r="C2" s="11">
        <f>='borden_afstandshouder'!O6</f>
      </c>
    </row>
    <row r="3" spans="1:3" x14ac:dyDescent="0.25">
      <c r="A3" s="10" t="s">
        <v>1039</v>
      </c>
      <c r="B3" s="10" t="s">
        <v>1041</v>
      </c>
      <c r="C3" s="11">
        <f>='borden_hout'!O6</f>
      </c>
    </row>
    <row r="4" spans="1:3" x14ac:dyDescent="0.25">
      <c r="A4" s="10" t="s">
        <v>1039</v>
      </c>
      <c r="B4" s="10" t="s">
        <v>1042</v>
      </c>
      <c r="C4" s="11">
        <f>='borden_plexi_opaal'!O3</f>
      </c>
    </row>
    <row r="5" spans="1:3" x14ac:dyDescent="0.25">
      <c r="A5" s="10" t="s">
        <v>1039</v>
      </c>
      <c r="B5" s="10" t="s">
        <v>1043</v>
      </c>
      <c r="C5" s="11">
        <f>='borden_forex_zwart'!O51</f>
      </c>
    </row>
    <row r="6" spans="1:3" x14ac:dyDescent="0.25">
      <c r="A6" s="10" t="s">
        <v>1039</v>
      </c>
      <c r="B6" s="10" t="s">
        <v>1044</v>
      </c>
      <c r="C6" s="11">
        <f>='borden_forex_wit'!O63</f>
      </c>
    </row>
    <row r="7" spans="1:3" x14ac:dyDescent="0.25">
      <c r="A7" s="10" t="s">
        <v>1039</v>
      </c>
      <c r="B7" s="10" t="s">
        <v>1045</v>
      </c>
      <c r="C7" s="11">
        <f>='borden_zwart'!O75</f>
      </c>
    </row>
    <row r="8" spans="1:3" x14ac:dyDescent="0.25">
      <c r="A8" s="10" t="s">
        <v>1039</v>
      </c>
      <c r="B8" s="10" t="s">
        <v>1046</v>
      </c>
      <c r="C8" s="11">
        <f>='borden_wit'!O153</f>
      </c>
    </row>
    <row r="9" spans="1:3" x14ac:dyDescent="0.25">
      <c r="A9" s="10" t="s">
        <v>1039</v>
      </c>
      <c r="B9" s="10" t="s">
        <v>1047</v>
      </c>
      <c r="C9" s="11">
        <f>='borden_kanaalplaten'!O13</f>
      </c>
    </row>
    <row r="10" spans="1:3" x14ac:dyDescent="0.25">
      <c r="A10" s="10" t="s">
        <v>1039</v>
      </c>
      <c r="B10" s="10" t="s">
        <v>1048</v>
      </c>
      <c r="C10" s="11">
        <f>='borden_brushed_steel'!O5</f>
      </c>
    </row>
    <row r="11" spans="1:3" x14ac:dyDescent="0.25">
      <c r="A11" s="10" t="s">
        <v>1039</v>
      </c>
      <c r="B11" s="10" t="s">
        <v>1049</v>
      </c>
      <c r="C11" s="11">
        <f>='borden_plexiglas'!O8</f>
      </c>
    </row>
    <row r="12" spans="1:3" x14ac:dyDescent="0.25">
      <c r="A12" s="10" t="s">
        <v>1050</v>
      </c>
      <c r="B12" s="10" t="s">
        <v>1051</v>
      </c>
      <c r="C12" s="11">
        <f>='stock_rollup'!O3</f>
      </c>
    </row>
    <row r="13" spans="1:3" x14ac:dyDescent="0.25">
      <c r="A13" s="10" t="s">
        <v>1050</v>
      </c>
      <c r="B13" s="10" t="s">
        <v>1052</v>
      </c>
      <c r="C13" s="11">
        <f>='stock_snijfolie'!O28</f>
      </c>
    </row>
    <row r="14" spans="1:3" x14ac:dyDescent="0.25">
      <c r="A14" s="10" t="s">
        <v>1050</v>
      </c>
      <c r="B14" s="10" t="s">
        <v>1053</v>
      </c>
      <c r="C14" s="11">
        <f>='stock_interieurfolie'!O7</f>
      </c>
    </row>
    <row r="15" spans="1:3" x14ac:dyDescent="0.25">
      <c r="A15" s="10" t="s">
        <v>1050</v>
      </c>
      <c r="B15" s="10" t="s">
        <v>1054</v>
      </c>
      <c r="C15" s="11">
        <f>='stock_flex'!O23</f>
      </c>
    </row>
    <row r="16" spans="1:3" x14ac:dyDescent="0.25">
      <c r="A16" s="10" t="s">
        <v>1050</v>
      </c>
      <c r="B16" s="10" t="s">
        <v>1055</v>
      </c>
      <c r="C16" s="11">
        <f>='stock_printfolie'!O36</f>
      </c>
    </row>
    <row r="17" spans="1:3" x14ac:dyDescent="0.25">
      <c r="A17" s="10" t="s">
        <v>1050</v>
      </c>
      <c r="B17" s="10" t="s">
        <v>1056</v>
      </c>
      <c r="C17" s="11">
        <f>='stock_swf'!O39</f>
      </c>
    </row>
    <row r="18" spans="1:3" x14ac:dyDescent="0.25">
      <c r="A18" s="10" t="s">
        <v>1050</v>
      </c>
      <c r="B18" s="10" t="s">
        <v>1057</v>
      </c>
      <c r="C18" s="11">
        <f>='stock_allerlei'!O9</f>
      </c>
    </row>
    <row r="19" spans="1:3" x14ac:dyDescent="0.25">
      <c r="A19" s="10" t="s">
        <v>1050</v>
      </c>
      <c r="B19" s="10" t="s">
        <v>1058</v>
      </c>
      <c r="C19" s="11">
        <f>='stock_magneetfolie'!O5</f>
      </c>
    </row>
    <row r="20" spans="1:3" x14ac:dyDescent="0.25">
      <c r="A20" s="10" t="s">
        <v>1050</v>
      </c>
      <c r="B20" s="10" t="s">
        <v>1059</v>
      </c>
      <c r="C20" s="11">
        <f>='stock_buizen'!O13</f>
      </c>
    </row>
    <row r="21" spans="1:3" x14ac:dyDescent="0.25">
      <c r="A21" s="10" t="s">
        <v>1050</v>
      </c>
      <c r="B21" s="10" t="s">
        <v>1060</v>
      </c>
      <c r="C21" s="11">
        <f>='stock_zandstraal'!O14</f>
      </c>
    </row>
    <row r="22" spans="1:3" x14ac:dyDescent="0.25">
      <c r="A22" s="10" t="s">
        <v>1050</v>
      </c>
      <c r="B22" s="10" t="s">
        <v>1061</v>
      </c>
      <c r="C22" s="11">
        <f>='stock_rekkers'!O6</f>
      </c>
    </row>
    <row r="23" spans="1:3" s="12" customFormat="1" x14ac:dyDescent="0.25">
      <c r="A23" s="13" t="s">
        <v>1062</v>
      </c>
      <c r="B23" s="13" t="s">
        <v>102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2025-11-03T10:14:21Z</dcterms:created>
  <dcterms:modified xsi:type="dcterms:W3CDTF">2025-11-03T10:14:21Z</dcterms:modified>
</cp:coreProperties>
</file>