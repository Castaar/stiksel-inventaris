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<sst xmlns="http://schemas.openxmlformats.org/spreadsheetml/2006/main" count="2501" uniqueCount="1064">
  <si>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</si>
  <si>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</si>
  <si>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</si>
  <si>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</si>
  <si>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</si>
  <si>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</si>
  <si>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</si>
  <si>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</si>
  <si>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</si>
  <si>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</si>
  <si>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</si>
  <si>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</si>
  <si>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</si>
  <si>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</si>
  <si>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</si>
  <si>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</si>
  <si>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</si>
  <si>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</si>
  <si>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</si>
  <si>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</si>
  <si>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</si>
  <si>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</si>
  <si>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</si>
  <si>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</si>
  <si>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</si>
  <si>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</si>
  <si>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</si>
  <si>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</si>
  <si>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</si>
  <si>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</si>
  <si>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</si>
  <si>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</si>
  <si>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</si>
  <si>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</si>
  <si>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</si>
  <si>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</si>
  <si>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</si>
  <si>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price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</si>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</sst>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8" width="10" customWidth="1"/>
    <col min="9" max="10" width="17" customWidth="1"/>
    <col min="11" max="11" width="24" customWidth="1"/>
    <col min="12" max="12" width="11" customWidth="1"/>
    <col min="13" max="13" width="21" customWidth="1"/>
    <col min="14" max="15" width="10" customWidth="1"/>
    <col min="16" max="16" width="26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2" t="s">
        <v>38</v>
      </c>
      <c r="B2" s="4">
        <v>2</v>
      </c>
      <c r="C2" s="4" t="s">
        <v>27</v>
      </c>
      <c r="D2" s="4"/>
      <c r="E2" s="4"/>
      <c r="F2" s="4">
        <v>100</v>
      </c>
      <c r="G2" s="4" t="s">
        <v>39</v>
      </c>
      <c r="H2" s="4"/>
      <c r="I2" s="4"/>
      <c r="J2" s="4"/>
      <c r="K2" s="4">
        <v>4.76</v>
      </c>
      <c r="L2" s="4">
        <v>1</v>
      </c>
      <c r="M2" s="4"/>
      <c r="N2" s="4" t="s">
        <v>18</v>
      </c>
      <c r="O2" s="4">
        <v>120</v>
      </c>
      <c r="P2" s="3">
        <f>=B2*(O2*F2/10000)*K2</f>
      </c>
    </row>
    <row r="3" spans="1:16" x14ac:dyDescent="0.25">
      <c r="A3" s="2" t="s">
        <v>40</v>
      </c>
      <c r="B3" s="4">
        <v>1</v>
      </c>
      <c r="C3" s="4" t="s">
        <v>27</v>
      </c>
      <c r="D3" s="4"/>
      <c r="E3" s="4"/>
      <c r="F3" s="4">
        <v>118</v>
      </c>
      <c r="G3" s="4" t="s">
        <v>41</v>
      </c>
      <c r="H3" s="4"/>
      <c r="I3" s="4"/>
      <c r="J3" s="4"/>
      <c r="K3" s="4">
        <v>4.76</v>
      </c>
      <c r="L3" s="4">
        <v>4</v>
      </c>
      <c r="M3" s="4"/>
      <c r="N3" s="4" t="s">
        <v>18</v>
      </c>
      <c r="O3" s="4">
        <v>122</v>
      </c>
      <c r="P3" s="3">
        <f>=B3*(O3*F3/10000)*K3</f>
      </c>
    </row>
    <row r="4" spans="1:16" x14ac:dyDescent="0.25">
      <c r="A4" s="2" t="s">
        <v>42</v>
      </c>
      <c r="B4" s="4">
        <v>1</v>
      </c>
      <c r="C4" s="4" t="s">
        <v>27</v>
      </c>
      <c r="D4" s="4"/>
      <c r="E4" s="4"/>
      <c r="F4" s="4">
        <v>40</v>
      </c>
      <c r="G4" s="4" t="s">
        <v>43</v>
      </c>
      <c r="H4" s="4"/>
      <c r="I4" s="4"/>
      <c r="J4" s="4"/>
      <c r="K4" s="4">
        <v>4.76</v>
      </c>
      <c r="L4" s="4"/>
      <c r="M4" s="4"/>
      <c r="N4" s="4" t="s">
        <v>18</v>
      </c>
      <c r="O4" s="4">
        <v>30</v>
      </c>
      <c r="P4" s="3">
        <f>=B4*(O4*F4/10000)*K4</f>
      </c>
    </row>
    <row r="5" spans="1:16" x14ac:dyDescent="0.25">
      <c r="A5" s="2" t="s">
        <v>44</v>
      </c>
      <c r="B5" s="4">
        <v>1</v>
      </c>
      <c r="C5" s="4" t="s">
        <v>27</v>
      </c>
      <c r="D5" s="4"/>
      <c r="E5" s="4"/>
      <c r="F5" s="4">
        <v>147</v>
      </c>
      <c r="G5" s="4" t="s">
        <v>45</v>
      </c>
      <c r="H5" s="4"/>
      <c r="I5" s="4"/>
      <c r="J5" s="4"/>
      <c r="K5" s="4">
        <v>4.76</v>
      </c>
      <c r="L5" s="4">
        <v>4</v>
      </c>
      <c r="M5" s="4"/>
      <c r="N5" s="4" t="s">
        <v>18</v>
      </c>
      <c r="O5" s="4">
        <v>150</v>
      </c>
      <c r="P5" s="3">
        <f>=B5*(O5*F5/10000)*K5</f>
      </c>
    </row>
    <row r="6" spans="1:16" x14ac:dyDescent="0.25">
      <c r="A6" s="2" t="s">
        <v>46</v>
      </c>
      <c r="B6" s="4">
        <v>1</v>
      </c>
      <c r="C6" s="4" t="s">
        <v>27</v>
      </c>
      <c r="D6" s="4"/>
      <c r="E6" s="4"/>
      <c r="F6" s="4">
        <v>42</v>
      </c>
      <c r="G6" s="4" t="s">
        <v>47</v>
      </c>
      <c r="H6" s="4"/>
      <c r="I6" s="4"/>
      <c r="J6" s="4"/>
      <c r="K6" s="4">
        <v>4.76</v>
      </c>
      <c r="L6" s="4">
        <v>3</v>
      </c>
      <c r="M6" s="4"/>
      <c r="N6" s="4" t="s">
        <v>18</v>
      </c>
      <c r="O6" s="4">
        <v>44</v>
      </c>
      <c r="P6" s="3">
        <f>=B6*(O6*F6/10000)*K6</f>
      </c>
    </row>
    <row r="7" spans="1:16" x14ac:dyDescent="0.25">
      <c r="A7" s="2" t="s">
        <v>48</v>
      </c>
      <c r="B7" s="4">
        <v>2</v>
      </c>
      <c r="C7" s="4" t="s">
        <v>27</v>
      </c>
      <c r="D7" s="4"/>
      <c r="E7" s="4"/>
      <c r="F7" s="4">
        <v>18</v>
      </c>
      <c r="G7" s="4" t="s">
        <v>49</v>
      </c>
      <c r="H7" s="4"/>
      <c r="I7" s="4"/>
      <c r="J7" s="4"/>
      <c r="K7" s="4">
        <v>4.76</v>
      </c>
      <c r="L7" s="4">
        <v>1</v>
      </c>
      <c r="M7" s="4"/>
      <c r="N7" s="4" t="s">
        <v>18</v>
      </c>
      <c r="O7" s="4">
        <v>200</v>
      </c>
      <c r="P7" s="3">
        <f>=B7*(O7*F7/10000)*K7</f>
      </c>
    </row>
    <row r="8" spans="1:16" x14ac:dyDescent="0.25">
      <c r="A8" s="2" t="s">
        <v>50</v>
      </c>
      <c r="B8" s="4">
        <v>1</v>
      </c>
      <c r="C8" s="4" t="s">
        <v>27</v>
      </c>
      <c r="D8" s="4"/>
      <c r="E8" s="4"/>
      <c r="F8" s="4">
        <v>120</v>
      </c>
      <c r="G8" s="4" t="s">
        <v>51</v>
      </c>
      <c r="H8" s="4"/>
      <c r="I8" s="4"/>
      <c r="J8" s="4"/>
      <c r="K8" s="4">
        <v>4.76</v>
      </c>
      <c r="L8" s="4">
        <v>4</v>
      </c>
      <c r="M8" s="4"/>
      <c r="N8" s="4" t="s">
        <v>18</v>
      </c>
      <c r="O8" s="4">
        <v>204</v>
      </c>
      <c r="P8" s="3">
        <f>=B8*(O8*F8/10000)*K8</f>
      </c>
    </row>
    <row r="9" spans="1:16" x14ac:dyDescent="0.25">
      <c r="A9" s="2" t="s">
        <v>52</v>
      </c>
      <c r="B9" s="4">
        <v>1</v>
      </c>
      <c r="C9" s="4" t="s">
        <v>27</v>
      </c>
      <c r="D9" s="4"/>
      <c r="E9" s="4"/>
      <c r="F9" s="4">
        <v>9.5</v>
      </c>
      <c r="G9" s="4" t="s">
        <v>53</v>
      </c>
      <c r="H9" s="4"/>
      <c r="I9" s="4"/>
      <c r="J9" s="4"/>
      <c r="K9" s="4">
        <v>4.76</v>
      </c>
      <c r="L9" s="4">
        <v>4</v>
      </c>
      <c r="M9" s="4"/>
      <c r="N9" s="4" t="s">
        <v>18</v>
      </c>
      <c r="O9" s="4">
        <v>23</v>
      </c>
      <c r="P9" s="3">
        <f>=B9*(O9*F9/10000)*K9</f>
      </c>
    </row>
    <row r="10" spans="1:16" x14ac:dyDescent="0.25">
      <c r="A10" s="2" t="s">
        <v>54</v>
      </c>
      <c r="B10" s="4">
        <v>1</v>
      </c>
      <c r="C10" s="4" t="s">
        <v>27</v>
      </c>
      <c r="D10" s="4"/>
      <c r="E10" s="4"/>
      <c r="F10" s="4">
        <v>18</v>
      </c>
      <c r="G10" s="4" t="s">
        <v>55</v>
      </c>
      <c r="H10" s="4"/>
      <c r="I10" s="4"/>
      <c r="J10" s="4"/>
      <c r="K10" s="4">
        <v>4.76</v>
      </c>
      <c r="L10" s="4">
        <v>5</v>
      </c>
      <c r="M10" s="4"/>
      <c r="N10" s="4" t="s">
        <v>18</v>
      </c>
      <c r="O10" s="4">
        <v>24</v>
      </c>
      <c r="P10" s="3">
        <f>=B10*(O10*F10/10000)*K10</f>
      </c>
    </row>
    <row r="11" spans="1:16" x14ac:dyDescent="0.25">
      <c r="A11" s="2" t="s">
        <v>56</v>
      </c>
      <c r="B11" s="4">
        <v>1</v>
      </c>
      <c r="C11" s="4" t="s">
        <v>27</v>
      </c>
      <c r="D11" s="4"/>
      <c r="E11" s="4"/>
      <c r="F11" s="4">
        <v>97</v>
      </c>
      <c r="G11" s="4" t="s">
        <v>57</v>
      </c>
      <c r="H11" s="4"/>
      <c r="I11" s="4"/>
      <c r="J11" s="4"/>
      <c r="K11" s="4">
        <v>4.76</v>
      </c>
      <c r="L11" s="4">
        <v>5</v>
      </c>
      <c r="M11" s="4"/>
      <c r="N11" s="4" t="s">
        <v>18</v>
      </c>
      <c r="O11" s="4">
        <v>24</v>
      </c>
      <c r="P11" s="3">
        <f>=B11*(O11*F11/10000)*K11</f>
      </c>
    </row>
    <row r="12" spans="1:16" x14ac:dyDescent="0.25">
      <c r="A12" s="2" t="s">
        <v>58</v>
      </c>
      <c r="B12" s="4">
        <v>3</v>
      </c>
      <c r="C12" s="4" t="s">
        <v>27</v>
      </c>
      <c r="D12" s="4"/>
      <c r="E12" s="4"/>
      <c r="F12" s="4">
        <v>30</v>
      </c>
      <c r="G12" s="4" t="s">
        <v>59</v>
      </c>
      <c r="H12" s="4"/>
      <c r="I12" s="4"/>
      <c r="J12" s="4"/>
      <c r="K12" s="4">
        <v>4.76</v>
      </c>
      <c r="L12" s="4">
        <v>7</v>
      </c>
      <c r="M12" s="4"/>
      <c r="N12" s="4" t="s">
        <v>18</v>
      </c>
      <c r="O12" s="4">
        <v>30</v>
      </c>
      <c r="P12" s="3">
        <f>=B12*(O12*F12/10000)*K12</f>
      </c>
    </row>
    <row r="13" spans="1:16" x14ac:dyDescent="0.25">
      <c r="A13" s="2" t="s">
        <v>60</v>
      </c>
      <c r="B13" s="4">
        <v>8</v>
      </c>
      <c r="C13" s="4" t="s">
        <v>27</v>
      </c>
      <c r="D13" s="4"/>
      <c r="E13" s="4"/>
      <c r="F13" s="4">
        <v>29</v>
      </c>
      <c r="G13" s="4" t="s">
        <v>61</v>
      </c>
      <c r="H13" s="4"/>
      <c r="I13" s="4"/>
      <c r="J13" s="4"/>
      <c r="K13" s="4">
        <v>4.76</v>
      </c>
      <c r="L13" s="4">
        <v>4</v>
      </c>
      <c r="M13" s="4"/>
      <c r="N13" s="4" t="s">
        <v>18</v>
      </c>
      <c r="O13" s="4">
        <v>32</v>
      </c>
      <c r="P13" s="3">
        <f>=B13*(O13*F13/10000)*K13</f>
      </c>
    </row>
    <row r="14" spans="1:16" x14ac:dyDescent="0.25">
      <c r="A14" s="2" t="s">
        <v>62</v>
      </c>
      <c r="B14" s="4">
        <v>1</v>
      </c>
      <c r="C14" s="4" t="s">
        <v>27</v>
      </c>
      <c r="D14" s="4"/>
      <c r="E14" s="4"/>
      <c r="F14" s="4">
        <v>29</v>
      </c>
      <c r="G14" s="4" t="s">
        <v>63</v>
      </c>
      <c r="H14" s="4"/>
      <c r="I14" s="4"/>
      <c r="J14" s="4"/>
      <c r="K14" s="4">
        <v>4.76</v>
      </c>
      <c r="L14" s="4">
        <v>5</v>
      </c>
      <c r="M14" s="4"/>
      <c r="N14" s="4" t="s">
        <v>18</v>
      </c>
      <c r="O14" s="4">
        <v>34</v>
      </c>
      <c r="P14" s="3">
        <f>=B14*(O14*F14/10000)*K14</f>
      </c>
    </row>
    <row r="15" spans="1:16" x14ac:dyDescent="0.25">
      <c r="A15" s="2" t="s">
        <v>64</v>
      </c>
      <c r="B15" s="4">
        <v>1</v>
      </c>
      <c r="C15" s="4" t="s">
        <v>27</v>
      </c>
      <c r="D15" s="4"/>
      <c r="E15" s="4"/>
      <c r="F15" s="4">
        <v>18</v>
      </c>
      <c r="G15" s="4" t="s">
        <v>65</v>
      </c>
      <c r="H15" s="4"/>
      <c r="I15" s="4"/>
      <c r="J15" s="4"/>
      <c r="K15" s="4">
        <v>4.76</v>
      </c>
      <c r="L15" s="4">
        <v>5</v>
      </c>
      <c r="M15" s="4"/>
      <c r="N15" s="4" t="s">
        <v>18</v>
      </c>
      <c r="O15" s="4">
        <v>40</v>
      </c>
      <c r="P15" s="3">
        <f>=B15*(O15*F15/10000)*K15</f>
      </c>
    </row>
    <row r="16" spans="1:16" x14ac:dyDescent="0.25">
      <c r="A16" s="2" t="s">
        <v>66</v>
      </c>
      <c r="B16" s="4">
        <v>1</v>
      </c>
      <c r="C16" s="4" t="s">
        <v>27</v>
      </c>
      <c r="D16" s="4"/>
      <c r="E16" s="4"/>
      <c r="F16" s="4">
        <v>40</v>
      </c>
      <c r="G16" s="4" t="s">
        <v>67</v>
      </c>
      <c r="H16" s="4"/>
      <c r="I16" s="4"/>
      <c r="J16" s="4"/>
      <c r="K16" s="4">
        <v>4.76</v>
      </c>
      <c r="L16" s="4">
        <v>5</v>
      </c>
      <c r="M16" s="4"/>
      <c r="N16" s="4" t="s">
        <v>18</v>
      </c>
      <c r="O16" s="4">
        <v>40</v>
      </c>
      <c r="P16" s="3">
        <f>=B16*(O16*F16/10000)*K16</f>
      </c>
    </row>
    <row r="17" spans="1:16" x14ac:dyDescent="0.25">
      <c r="A17" s="2" t="s">
        <v>68</v>
      </c>
      <c r="B17" s="4">
        <v>1</v>
      </c>
      <c r="C17" s="4" t="s">
        <v>27</v>
      </c>
      <c r="D17" s="4"/>
      <c r="E17" s="4"/>
      <c r="F17" s="4">
        <v>40</v>
      </c>
      <c r="G17" s="4" t="s">
        <v>69</v>
      </c>
      <c r="H17" s="4"/>
      <c r="I17" s="4"/>
      <c r="J17" s="4"/>
      <c r="K17" s="4">
        <v>4.76</v>
      </c>
      <c r="L17" s="4"/>
      <c r="M17" s="4"/>
      <c r="N17" s="4" t="s">
        <v>18</v>
      </c>
      <c r="O17" s="4">
        <v>100</v>
      </c>
      <c r="P17" s="3">
        <f>=B17*(O17*F17/10000)*K17</f>
      </c>
    </row>
    <row r="18" spans="1:16" x14ac:dyDescent="0.25">
      <c r="A18" s="2" t="s">
        <v>70</v>
      </c>
      <c r="B18" s="4">
        <v>1</v>
      </c>
      <c r="C18" s="4" t="s">
        <v>27</v>
      </c>
      <c r="D18" s="4"/>
      <c r="E18" s="4"/>
      <c r="F18" s="4">
        <v>11</v>
      </c>
      <c r="G18" s="4" t="s">
        <v>71</v>
      </c>
      <c r="H18" s="4"/>
      <c r="I18" s="4"/>
      <c r="J18" s="4"/>
      <c r="K18" s="4">
        <v>4.76</v>
      </c>
      <c r="L18" s="4"/>
      <c r="M18" s="4"/>
      <c r="N18" s="4" t="s">
        <v>18</v>
      </c>
      <c r="O18" s="4">
        <v>53</v>
      </c>
      <c r="P18" s="3">
        <f>=B18*(O18*F18/10000)*K18</f>
      </c>
    </row>
    <row r="19" spans="1:16" x14ac:dyDescent="0.25">
      <c r="A19" s="2" t="s">
        <v>72</v>
      </c>
      <c r="B19" s="4">
        <v>1</v>
      </c>
      <c r="C19" s="4" t="s">
        <v>27</v>
      </c>
      <c r="D19" s="4"/>
      <c r="E19" s="4"/>
      <c r="F19" s="4">
        <v>24</v>
      </c>
      <c r="G19" s="4" t="s">
        <v>73</v>
      </c>
      <c r="H19" s="4"/>
      <c r="I19" s="4"/>
      <c r="J19" s="4"/>
      <c r="K19" s="4">
        <v>4.76</v>
      </c>
      <c r="L19" s="4">
        <v>0</v>
      </c>
      <c r="M19" s="4"/>
      <c r="N19" s="4" t="s">
        <v>18</v>
      </c>
      <c r="O19" s="4">
        <v>97</v>
      </c>
      <c r="P19" s="3">
        <f>=B19*(O19*F19/10000)*K19</f>
      </c>
    </row>
    <row r="20" spans="1:16" x14ac:dyDescent="0.25">
      <c r="A20" s="2" t="s">
        <v>74</v>
      </c>
      <c r="B20" s="4">
        <v>1</v>
      </c>
      <c r="C20" s="4" t="s">
        <v>27</v>
      </c>
      <c r="D20" s="4"/>
      <c r="E20" s="4"/>
      <c r="F20" s="4">
        <v>18</v>
      </c>
      <c r="G20" s="4" t="s">
        <v>75</v>
      </c>
      <c r="H20" s="4"/>
      <c r="I20" s="4"/>
      <c r="J20" s="4"/>
      <c r="K20" s="4">
        <v>4.76</v>
      </c>
      <c r="L20" s="4">
        <v>5</v>
      </c>
      <c r="M20" s="4"/>
      <c r="N20" s="4" t="s">
        <v>18</v>
      </c>
      <c r="O20" s="4">
        <v>50</v>
      </c>
      <c r="P20" s="3">
        <f>=B20*(O20*F20/10000)*K20</f>
      </c>
    </row>
    <row r="21" spans="1:16" x14ac:dyDescent="0.25">
      <c r="A21" s="2" t="s">
        <v>76</v>
      </c>
      <c r="B21" s="4">
        <v>1</v>
      </c>
      <c r="C21" s="4" t="s">
        <v>27</v>
      </c>
      <c r="D21" s="4"/>
      <c r="E21" s="4"/>
      <c r="F21" s="4">
        <v>50</v>
      </c>
      <c r="G21" s="4" t="s">
        <v>77</v>
      </c>
      <c r="H21" s="4"/>
      <c r="I21" s="4"/>
      <c r="J21" s="4"/>
      <c r="K21" s="4">
        <v>4.76</v>
      </c>
      <c r="L21" s="4">
        <v>2</v>
      </c>
      <c r="M21" s="4"/>
      <c r="N21" s="4" t="s">
        <v>18</v>
      </c>
      <c r="O21" s="4">
        <v>50</v>
      </c>
      <c r="P21" s="3">
        <f>=B21*(O21*F21/10000)*K21</f>
      </c>
    </row>
    <row r="22" spans="1:16" x14ac:dyDescent="0.25">
      <c r="A22" s="2" t="s">
        <v>78</v>
      </c>
      <c r="B22" s="4">
        <v>1</v>
      </c>
      <c r="C22" s="4" t="s">
        <v>27</v>
      </c>
      <c r="D22" s="4"/>
      <c r="E22" s="4"/>
      <c r="F22" s="4">
        <v>20</v>
      </c>
      <c r="G22" s="4" t="s">
        <v>79</v>
      </c>
      <c r="H22" s="4"/>
      <c r="I22" s="4"/>
      <c r="J22" s="4"/>
      <c r="K22" s="4">
        <v>4.76</v>
      </c>
      <c r="L22" s="4">
        <v>5</v>
      </c>
      <c r="M22" s="4"/>
      <c r="N22" s="4" t="s">
        <v>18</v>
      </c>
      <c r="O22" s="4">
        <v>50</v>
      </c>
      <c r="P22" s="3">
        <f>=B22*(O22*F22/10000)*K22</f>
      </c>
    </row>
    <row r="23" spans="1:16" x14ac:dyDescent="0.25">
      <c r="A23" s="2" t="s">
        <v>80</v>
      </c>
      <c r="B23" s="4">
        <v>1</v>
      </c>
      <c r="C23" s="4" t="s">
        <v>27</v>
      </c>
      <c r="D23" s="4"/>
      <c r="E23" s="4"/>
      <c r="F23" s="4">
        <v>123</v>
      </c>
      <c r="G23" s="4" t="s">
        <v>81</v>
      </c>
      <c r="H23" s="4"/>
      <c r="I23" s="4"/>
      <c r="J23" s="4"/>
      <c r="K23" s="4">
        <v>4.76</v>
      </c>
      <c r="L23" s="4"/>
      <c r="M23" s="4"/>
      <c r="N23" s="4" t="s">
        <v>18</v>
      </c>
      <c r="O23" s="4">
        <v>305</v>
      </c>
      <c r="P23" s="3">
        <f>=B23*(O23*F23/10000)*K23</f>
      </c>
    </row>
    <row r="24" spans="1:16" x14ac:dyDescent="0.25">
      <c r="A24" s="2" t="s">
        <v>82</v>
      </c>
      <c r="B24" s="4">
        <v>1</v>
      </c>
      <c r="C24" s="4" t="s">
        <v>27</v>
      </c>
      <c r="D24" s="4"/>
      <c r="E24" s="4"/>
      <c r="F24" s="4">
        <v>100</v>
      </c>
      <c r="G24" s="4" t="s">
        <v>83</v>
      </c>
      <c r="H24" s="4"/>
      <c r="I24" s="4"/>
      <c r="J24" s="4"/>
      <c r="K24" s="4">
        <v>4.76</v>
      </c>
      <c r="L24" s="4"/>
      <c r="M24" s="4"/>
      <c r="N24" s="4" t="s">
        <v>18</v>
      </c>
      <c r="O24" s="4">
        <v>27</v>
      </c>
      <c r="P24" s="3">
        <f>=B24*(O24*F24/10000)*K24</f>
      </c>
    </row>
    <row r="25" spans="1:16" x14ac:dyDescent="0.25">
      <c r="A25" s="2" t="s">
        <v>84</v>
      </c>
      <c r="B25" s="4">
        <v>1</v>
      </c>
      <c r="C25" s="4" t="s">
        <v>27</v>
      </c>
      <c r="D25" s="4"/>
      <c r="E25" s="4"/>
      <c r="F25" s="4">
        <v>22</v>
      </c>
      <c r="G25" s="4" t="s">
        <v>85</v>
      </c>
      <c r="H25" s="4"/>
      <c r="I25" s="4"/>
      <c r="J25" s="4"/>
      <c r="K25" s="4">
        <v>4.76</v>
      </c>
      <c r="L25" s="4">
        <v>5</v>
      </c>
      <c r="M25" s="4"/>
      <c r="N25" s="4" t="s">
        <v>18</v>
      </c>
      <c r="O25" s="4">
        <v>59</v>
      </c>
      <c r="P25" s="3">
        <f>=B25*(O25*F25/10000)*K25</f>
      </c>
    </row>
    <row r="26" spans="1:16" x14ac:dyDescent="0.25">
      <c r="A26" s="2" t="s">
        <v>86</v>
      </c>
      <c r="B26" s="4">
        <v>3</v>
      </c>
      <c r="C26" s="4" t="s">
        <v>27</v>
      </c>
      <c r="D26" s="4"/>
      <c r="E26" s="4"/>
      <c r="F26" s="4">
        <v>17.5</v>
      </c>
      <c r="G26" s="4" t="s">
        <v>87</v>
      </c>
      <c r="H26" s="4"/>
      <c r="I26" s="4"/>
      <c r="J26" s="4"/>
      <c r="K26" s="4">
        <v>4.76</v>
      </c>
      <c r="L26" s="4">
        <v>5</v>
      </c>
      <c r="M26" s="4"/>
      <c r="N26" s="4" t="s">
        <v>18</v>
      </c>
      <c r="O26" s="4">
        <v>60</v>
      </c>
      <c r="P26" s="3">
        <f>=B26*(O26*F26/10000)*K26</f>
      </c>
    </row>
    <row r="27" spans="1:16" x14ac:dyDescent="0.25">
      <c r="A27" s="2" t="s">
        <v>88</v>
      </c>
      <c r="B27" s="4">
        <v>2</v>
      </c>
      <c r="C27" s="4" t="s">
        <v>27</v>
      </c>
      <c r="D27" s="4"/>
      <c r="E27" s="4"/>
      <c r="F27" s="4">
        <v>38</v>
      </c>
      <c r="G27" s="4" t="s">
        <v>89</v>
      </c>
      <c r="H27" s="4"/>
      <c r="I27" s="4"/>
      <c r="J27" s="4"/>
      <c r="K27" s="4">
        <v>4.76</v>
      </c>
      <c r="L27" s="4">
        <v>8</v>
      </c>
      <c r="M27" s="4"/>
      <c r="N27" s="4" t="s">
        <v>18</v>
      </c>
      <c r="O27" s="4">
        <v>60</v>
      </c>
      <c r="P27" s="3">
        <f>=B27*(O27*F27/10000)*K27</f>
      </c>
    </row>
    <row r="28" spans="1:16" x14ac:dyDescent="0.25">
      <c r="A28" s="2" t="s">
        <v>90</v>
      </c>
      <c r="B28" s="4">
        <v>2</v>
      </c>
      <c r="C28" s="4" t="s">
        <v>27</v>
      </c>
      <c r="D28" s="4"/>
      <c r="E28" s="4"/>
      <c r="F28" s="4">
        <v>60</v>
      </c>
      <c r="G28" s="4" t="s">
        <v>91</v>
      </c>
      <c r="H28" s="4"/>
      <c r="I28" s="4"/>
      <c r="J28" s="4"/>
      <c r="K28" s="4">
        <v>4.76</v>
      </c>
      <c r="L28" s="4">
        <v>2</v>
      </c>
      <c r="M28" s="4"/>
      <c r="N28" s="4" t="s">
        <v>18</v>
      </c>
      <c r="O28" s="4">
        <v>60</v>
      </c>
      <c r="P28" s="3">
        <f>=B28*(O28*F28/10000)*K28</f>
      </c>
    </row>
    <row r="29" spans="1:16" x14ac:dyDescent="0.25">
      <c r="A29" s="2" t="s">
        <v>92</v>
      </c>
      <c r="B29" s="4">
        <v>1</v>
      </c>
      <c r="C29" s="4" t="s">
        <v>27</v>
      </c>
      <c r="D29" s="4"/>
      <c r="E29" s="4"/>
      <c r="F29" s="4">
        <v>108.5</v>
      </c>
      <c r="G29" s="4" t="s">
        <v>93</v>
      </c>
      <c r="H29" s="4"/>
      <c r="I29" s="4"/>
      <c r="J29" s="4"/>
      <c r="K29" s="4">
        <v>4.76</v>
      </c>
      <c r="L29" s="4"/>
      <c r="M29" s="4"/>
      <c r="N29" s="4" t="s">
        <v>18</v>
      </c>
      <c r="O29" s="4">
        <v>22.5</v>
      </c>
      <c r="P29" s="3">
        <f>=B29*(O29*F29/10000)*K29</f>
      </c>
    </row>
    <row r="30" spans="1:16" x14ac:dyDescent="0.25">
      <c r="A30" s="2" t="s">
        <v>94</v>
      </c>
      <c r="B30" s="4">
        <v>1</v>
      </c>
      <c r="C30" s="4" t="s">
        <v>27</v>
      </c>
      <c r="D30" s="4"/>
      <c r="E30" s="4"/>
      <c r="F30" s="4">
        <v>51</v>
      </c>
      <c r="G30" s="4" t="s">
        <v>95</v>
      </c>
      <c r="H30" s="4"/>
      <c r="I30" s="4"/>
      <c r="J30" s="4"/>
      <c r="K30" s="4">
        <v>4.76</v>
      </c>
      <c r="L30" s="4">
        <v>0</v>
      </c>
      <c r="M30" s="4"/>
      <c r="N30" s="4" t="s">
        <v>18</v>
      </c>
      <c r="O30" s="4">
        <v>80</v>
      </c>
      <c r="P30" s="3">
        <f>=B30*(O30*F30/10000)*K30</f>
      </c>
    </row>
    <row r="31" spans="1:16" x14ac:dyDescent="0.25">
      <c r="A31" s="2" t="s">
        <v>96</v>
      </c>
      <c r="B31" s="4">
        <v>1</v>
      </c>
      <c r="C31" s="4" t="s">
        <v>27</v>
      </c>
      <c r="D31" s="4"/>
      <c r="E31" s="4"/>
      <c r="F31" s="4">
        <v>37</v>
      </c>
      <c r="G31" s="4" t="s">
        <v>97</v>
      </c>
      <c r="H31" s="4"/>
      <c r="I31" s="4"/>
      <c r="J31" s="4"/>
      <c r="K31" s="4">
        <v>4.76</v>
      </c>
      <c r="L31" s="4">
        <v>5</v>
      </c>
      <c r="M31" s="4"/>
      <c r="N31" s="4" t="s">
        <v>18</v>
      </c>
      <c r="O31" s="4">
        <v>48.5</v>
      </c>
      <c r="P31" s="3">
        <f>=B31*(O31*F31/10000)*K31</f>
      </c>
    </row>
    <row r="32" spans="1:16" x14ac:dyDescent="0.25">
      <c r="A32" s="2" t="s">
        <v>98</v>
      </c>
      <c r="B32" s="4">
        <v>2</v>
      </c>
      <c r="C32" s="4" t="s">
        <v>27</v>
      </c>
      <c r="D32" s="4"/>
      <c r="E32" s="4"/>
      <c r="F32" s="4">
        <v>35</v>
      </c>
      <c r="G32" s="4" t="s">
        <v>99</v>
      </c>
      <c r="H32" s="4"/>
      <c r="I32" s="4"/>
      <c r="J32" s="4"/>
      <c r="K32" s="4">
        <v>4.76</v>
      </c>
      <c r="L32" s="4">
        <v>3</v>
      </c>
      <c r="M32" s="4"/>
      <c r="N32" s="4" t="s">
        <v>18</v>
      </c>
      <c r="O32" s="4">
        <v>72</v>
      </c>
      <c r="P32" s="3">
        <f>=B32*(O32*F32/10000)*K32</f>
      </c>
    </row>
    <row r="33" spans="1:16" x14ac:dyDescent="0.25">
      <c r="A33" s="2" t="s">
        <v>100</v>
      </c>
      <c r="B33" s="4">
        <v>1</v>
      </c>
      <c r="C33" s="4" t="s">
        <v>27</v>
      </c>
      <c r="D33" s="4"/>
      <c r="E33" s="4"/>
      <c r="F33" s="4">
        <v>24</v>
      </c>
      <c r="G33" s="4" t="s">
        <v>101</v>
      </c>
      <c r="H33" s="4"/>
      <c r="I33" s="4"/>
      <c r="J33" s="4"/>
      <c r="K33" s="4">
        <v>4.76</v>
      </c>
      <c r="L33" s="4">
        <v>3</v>
      </c>
      <c r="M33" s="4"/>
      <c r="N33" s="4" t="s">
        <v>18</v>
      </c>
      <c r="O33" s="4">
        <v>64</v>
      </c>
      <c r="P33" s="3">
        <f>=B33*(O33*F33/10000)*K33</f>
      </c>
    </row>
    <row r="34" spans="1:16" x14ac:dyDescent="0.25">
      <c r="A34" s="2" t="s">
        <v>102</v>
      </c>
      <c r="B34" s="4">
        <v>1</v>
      </c>
      <c r="C34" s="4"/>
      <c r="D34" s="4">
        <v>0</v>
      </c>
      <c r="E34" s="4" t="s">
        <v>103</v>
      </c>
      <c r="F34" s="4">
        <v>0</v>
      </c>
      <c r="G34" s="4" t="s">
        <v>104</v>
      </c>
      <c r="H34" s="4"/>
      <c r="I34" s="4">
        <v>0</v>
      </c>
      <c r="J34" s="4">
        <v>0</v>
      </c>
      <c r="K34" s="4">
        <v>0</v>
      </c>
      <c r="L34" s="4">
        <v>3</v>
      </c>
      <c r="M34" s="4">
        <v>0</v>
      </c>
      <c r="N34" s="4" t="s">
        <v>18</v>
      </c>
      <c r="O34" s="4">
        <v>0</v>
      </c>
      <c r="P34" s="3">
        <f>=0</f>
      </c>
    </row>
    <row r="35" spans="1:16" x14ac:dyDescent="0.25">
      <c r="A35" s="2" t="s">
        <v>105</v>
      </c>
      <c r="B35" s="4">
        <v>1</v>
      </c>
      <c r="C35" s="4"/>
      <c r="D35" s="4">
        <v>0</v>
      </c>
      <c r="E35" s="4" t="s">
        <v>103</v>
      </c>
      <c r="F35" s="4">
        <v>0</v>
      </c>
      <c r="G35" s="4" t="s">
        <v>106</v>
      </c>
      <c r="H35" s="4"/>
      <c r="I35" s="4">
        <v>0</v>
      </c>
      <c r="J35" s="4">
        <v>0</v>
      </c>
      <c r="K35" s="4">
        <v>0</v>
      </c>
      <c r="L35" s="4">
        <v>5</v>
      </c>
      <c r="M35" s="4">
        <v>0</v>
      </c>
      <c r="N35" s="4" t="s">
        <v>18</v>
      </c>
      <c r="O35" s="4">
        <v>0</v>
      </c>
      <c r="P35" s="3">
        <f>=0</f>
      </c>
    </row>
    <row r="36" spans="1:16" x14ac:dyDescent="0.25">
      <c r="A36" s="2" t="s">
        <v>107</v>
      </c>
      <c r="B36" s="4">
        <v>1</v>
      </c>
      <c r="C36" s="4"/>
      <c r="D36" s="4">
        <v>0</v>
      </c>
      <c r="E36" s="4" t="s">
        <v>103</v>
      </c>
      <c r="F36" s="4">
        <v>0</v>
      </c>
      <c r="G36" s="4" t="s">
        <v>108</v>
      </c>
      <c r="H36" s="4"/>
      <c r="I36" s="4">
        <v>0</v>
      </c>
      <c r="J36" s="4">
        <v>0</v>
      </c>
      <c r="K36" s="4">
        <v>0</v>
      </c>
      <c r="L36" s="4">
        <v>3</v>
      </c>
      <c r="M36" s="4">
        <v>0</v>
      </c>
      <c r="N36" s="4" t="s">
        <v>103</v>
      </c>
      <c r="O36" s="4">
        <v>0</v>
      </c>
      <c r="P36" s="3">
        <f>=0</f>
      </c>
    </row>
    <row r="37" spans="1:16" x14ac:dyDescent="0.25">
      <c r="A37" s="2" t="s">
        <v>109</v>
      </c>
      <c r="B37" s="4">
        <v>1</v>
      </c>
      <c r="C37" s="4"/>
      <c r="D37" s="4">
        <v>0</v>
      </c>
      <c r="E37" s="4" t="s">
        <v>103</v>
      </c>
      <c r="F37" s="4">
        <v>0</v>
      </c>
      <c r="G37" s="4" t="s">
        <v>110</v>
      </c>
      <c r="H37" s="4"/>
      <c r="I37" s="4">
        <v>0</v>
      </c>
      <c r="J37" s="4">
        <v>0</v>
      </c>
      <c r="K37" s="4">
        <v>0</v>
      </c>
      <c r="L37" s="4">
        <v>3</v>
      </c>
      <c r="M37" s="4">
        <v>0</v>
      </c>
      <c r="N37" s="4" t="s">
        <v>103</v>
      </c>
      <c r="O37" s="4">
        <v>0</v>
      </c>
      <c r="P37" s="3">
        <f>=0</f>
      </c>
    </row>
    <row r="38" spans="1:16" x14ac:dyDescent="0.25">
      <c r="A38" s="2" t="s">
        <v>111</v>
      </c>
      <c r="B38" s="4">
        <v>1</v>
      </c>
      <c r="C38" s="4"/>
      <c r="D38" s="4">
        <v>0</v>
      </c>
      <c r="E38" s="4" t="s">
        <v>103</v>
      </c>
      <c r="F38" s="4">
        <v>0</v>
      </c>
      <c r="G38" s="4" t="s">
        <v>112</v>
      </c>
      <c r="H38" s="4"/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 t="s">
        <v>103</v>
      </c>
      <c r="O38" s="4">
        <v>0</v>
      </c>
      <c r="P38" s="3">
        <f>=0</f>
      </c>
    </row>
    <row r="39" spans="1:16" x14ac:dyDescent="0.25">
      <c r="A39" s="2" t="s">
        <v>113</v>
      </c>
      <c r="B39" s="4">
        <v>1</v>
      </c>
      <c r="C39" s="4"/>
      <c r="D39" s="4">
        <v>0</v>
      </c>
      <c r="E39" s="4" t="s">
        <v>103</v>
      </c>
      <c r="F39" s="4">
        <v>0</v>
      </c>
      <c r="G39" s="4" t="s">
        <v>114</v>
      </c>
      <c r="H39" s="4"/>
      <c r="I39" s="4">
        <v>0</v>
      </c>
      <c r="J39" s="4">
        <v>0</v>
      </c>
      <c r="K39" s="4">
        <v>0</v>
      </c>
      <c r="L39" s="4">
        <v>3</v>
      </c>
      <c r="M39" s="4">
        <v>0</v>
      </c>
      <c r="N39" s="4" t="s">
        <v>103</v>
      </c>
      <c r="O39" s="4">
        <v>0</v>
      </c>
      <c r="P39" s="3">
        <f>=0</f>
      </c>
    </row>
    <row r="40" spans="1:16" x14ac:dyDescent="0.25">
      <c r="A40" s="2" t="s">
        <v>115</v>
      </c>
      <c r="B40" s="4">
        <v>1</v>
      </c>
      <c r="C40" s="4"/>
      <c r="D40" s="4">
        <v>0</v>
      </c>
      <c r="E40" s="4" t="s">
        <v>103</v>
      </c>
      <c r="F40" s="4">
        <v>0</v>
      </c>
      <c r="G40" s="4" t="s">
        <v>116</v>
      </c>
      <c r="H40" s="4"/>
      <c r="I40" s="4">
        <v>0</v>
      </c>
      <c r="J40" s="4">
        <v>0</v>
      </c>
      <c r="K40" s="4">
        <v>0</v>
      </c>
      <c r="L40" s="4">
        <v>3</v>
      </c>
      <c r="M40" s="4">
        <v>0</v>
      </c>
      <c r="N40" s="4" t="s">
        <v>103</v>
      </c>
      <c r="O40" s="4">
        <v>0</v>
      </c>
      <c r="P40" s="3">
        <f>=0</f>
      </c>
    </row>
    <row r="41" spans="1:16" x14ac:dyDescent="0.25">
      <c r="A41" s="2" t="s">
        <v>117</v>
      </c>
      <c r="B41" s="4">
        <v>1</v>
      </c>
      <c r="C41" s="4"/>
      <c r="D41" s="4">
        <v>0</v>
      </c>
      <c r="E41" s="4" t="s">
        <v>103</v>
      </c>
      <c r="F41" s="4">
        <v>0</v>
      </c>
      <c r="G41" s="4" t="s">
        <v>118</v>
      </c>
      <c r="H41" s="4"/>
      <c r="I41" s="4">
        <v>0</v>
      </c>
      <c r="J41" s="4">
        <v>0</v>
      </c>
      <c r="K41" s="4">
        <v>0</v>
      </c>
      <c r="L41" s="4">
        <v>3</v>
      </c>
      <c r="M41" s="4">
        <v>0</v>
      </c>
      <c r="N41" s="4" t="s">
        <v>18</v>
      </c>
      <c r="O41" s="4">
        <v>0</v>
      </c>
      <c r="P41" s="3">
        <f>=0</f>
      </c>
    </row>
    <row r="42" spans="1:16" x14ac:dyDescent="0.25">
      <c r="A42" s="2" t="s">
        <v>119</v>
      </c>
      <c r="B42" s="4">
        <v>1</v>
      </c>
      <c r="C42" s="4"/>
      <c r="D42" s="4">
        <v>0</v>
      </c>
      <c r="E42" s="4" t="s">
        <v>103</v>
      </c>
      <c r="F42" s="4">
        <v>0</v>
      </c>
      <c r="G42" s="4" t="s">
        <v>120</v>
      </c>
      <c r="H42" s="4"/>
      <c r="I42" s="4">
        <v>0</v>
      </c>
      <c r="J42" s="4">
        <v>0</v>
      </c>
      <c r="K42" s="4">
        <v>0</v>
      </c>
      <c r="L42" s="4">
        <v>3</v>
      </c>
      <c r="M42" s="4">
        <v>0</v>
      </c>
      <c r="N42" s="4" t="s">
        <v>18</v>
      </c>
      <c r="O42" s="4">
        <v>0</v>
      </c>
      <c r="P42" s="3">
        <f>=0</f>
      </c>
    </row>
    <row r="43" spans="1:16" x14ac:dyDescent="0.25">
      <c r="A43" s="2" t="s">
        <v>121</v>
      </c>
      <c r="B43" s="4">
        <v>1</v>
      </c>
      <c r="C43" s="4"/>
      <c r="D43" s="4">
        <v>0</v>
      </c>
      <c r="E43" s="4" t="s">
        <v>103</v>
      </c>
      <c r="F43" s="4">
        <v>0</v>
      </c>
      <c r="G43" s="4" t="s">
        <v>122</v>
      </c>
      <c r="H43" s="4"/>
      <c r="I43" s="4">
        <v>0</v>
      </c>
      <c r="J43" s="4">
        <v>0</v>
      </c>
      <c r="K43" s="4">
        <v>0</v>
      </c>
      <c r="L43" s="4">
        <v>3</v>
      </c>
      <c r="M43" s="4">
        <v>0</v>
      </c>
      <c r="N43" s="4" t="s">
        <v>18</v>
      </c>
      <c r="O43" s="4">
        <v>0</v>
      </c>
      <c r="P43" s="3">
        <f>=0</f>
      </c>
    </row>
    <row r="44" spans="1:16" x14ac:dyDescent="0.25">
      <c r="A44" s="2" t="s">
        <v>123</v>
      </c>
      <c r="B44" s="4">
        <v>1</v>
      </c>
      <c r="C44" s="4"/>
      <c r="D44" s="4">
        <v>0</v>
      </c>
      <c r="E44" s="4" t="s">
        <v>103</v>
      </c>
      <c r="F44" s="4">
        <v>0</v>
      </c>
      <c r="G44" s="4" t="s">
        <v>124</v>
      </c>
      <c r="H44" s="4"/>
      <c r="I44" s="4">
        <v>0</v>
      </c>
      <c r="J44" s="4">
        <v>0</v>
      </c>
      <c r="K44" s="4">
        <v>0</v>
      </c>
      <c r="L44" s="4">
        <v>3</v>
      </c>
      <c r="M44" s="4">
        <v>0</v>
      </c>
      <c r="N44" s="4" t="s">
        <v>103</v>
      </c>
      <c r="O44" s="4">
        <v>0</v>
      </c>
      <c r="P44" s="3">
        <f>=0</f>
      </c>
    </row>
    <row r="45" spans="1:16" x14ac:dyDescent="0.25">
      <c r="A45" s="2" t="s">
        <v>125</v>
      </c>
      <c r="B45" s="4">
        <v>1</v>
      </c>
      <c r="C45" s="4"/>
      <c r="D45" s="4">
        <v>0</v>
      </c>
      <c r="E45" s="4" t="s">
        <v>103</v>
      </c>
      <c r="F45" s="4">
        <v>0</v>
      </c>
      <c r="G45" s="4" t="s">
        <v>126</v>
      </c>
      <c r="H45" s="4"/>
      <c r="I45" s="4">
        <v>0</v>
      </c>
      <c r="J45" s="4">
        <v>0</v>
      </c>
      <c r="K45" s="4">
        <v>0</v>
      </c>
      <c r="L45" s="4">
        <v>3</v>
      </c>
      <c r="M45" s="4">
        <v>0</v>
      </c>
      <c r="N45" s="4" t="s">
        <v>18</v>
      </c>
      <c r="O45" s="4">
        <v>0</v>
      </c>
      <c r="P45" s="3">
        <f>=0</f>
      </c>
    </row>
    <row r="46" spans="1:16" x14ac:dyDescent="0.25">
      <c r="A46" s="2" t="s">
        <v>127</v>
      </c>
      <c r="B46" s="4">
        <v>1</v>
      </c>
      <c r="C46" s="4"/>
      <c r="D46" s="4">
        <v>0</v>
      </c>
      <c r="E46" s="4" t="s">
        <v>103</v>
      </c>
      <c r="F46" s="4">
        <v>0</v>
      </c>
      <c r="G46" s="4" t="s">
        <v>128</v>
      </c>
      <c r="H46" s="4"/>
      <c r="I46" s="4">
        <v>0</v>
      </c>
      <c r="J46" s="4">
        <v>0</v>
      </c>
      <c r="K46" s="4">
        <v>0</v>
      </c>
      <c r="L46" s="4">
        <v>3</v>
      </c>
      <c r="M46" s="4">
        <v>0</v>
      </c>
      <c r="N46" s="4" t="s">
        <v>18</v>
      </c>
      <c r="O46" s="4">
        <v>0</v>
      </c>
      <c r="P46" s="3">
        <f>=0</f>
      </c>
    </row>
    <row r="47" spans="1:16" x14ac:dyDescent="0.25">
      <c r="A47" s="2" t="s">
        <v>129</v>
      </c>
      <c r="B47" s="4">
        <v>1</v>
      </c>
      <c r="C47" s="4"/>
      <c r="D47" s="4">
        <v>0</v>
      </c>
      <c r="E47" s="4" t="s">
        <v>103</v>
      </c>
      <c r="F47" s="4">
        <v>0</v>
      </c>
      <c r="G47" s="4" t="s">
        <v>130</v>
      </c>
      <c r="H47" s="4"/>
      <c r="I47" s="4">
        <v>0</v>
      </c>
      <c r="J47" s="4">
        <v>0</v>
      </c>
      <c r="K47" s="4">
        <v>0</v>
      </c>
      <c r="L47" s="4">
        <v>3</v>
      </c>
      <c r="M47" s="4">
        <v>0</v>
      </c>
      <c r="N47" s="4" t="s">
        <v>18</v>
      </c>
      <c r="O47" s="4">
        <v>0</v>
      </c>
      <c r="P47" s="3">
        <f>=0</f>
      </c>
    </row>
    <row r="48" spans="1:16" x14ac:dyDescent="0.25">
      <c r="A48" s="2" t="s">
        <v>131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132</v>
      </c>
      <c r="H48" s="4"/>
      <c r="I48" s="4">
        <v>0</v>
      </c>
      <c r="J48" s="4">
        <v>0</v>
      </c>
      <c r="K48" s="4">
        <v>0</v>
      </c>
      <c r="L48" s="4">
        <v>3</v>
      </c>
      <c r="M48" s="4">
        <v>0</v>
      </c>
      <c r="N48" s="4" t="s">
        <v>18</v>
      </c>
      <c r="O48" s="4">
        <v>0</v>
      </c>
      <c r="P48" s="3">
        <f>=0</f>
      </c>
    </row>
    <row r="49" spans="1:16" x14ac:dyDescent="0.25">
      <c r="A49" s="2" t="s">
        <v>133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134</v>
      </c>
      <c r="H49" s="4"/>
      <c r="I49" s="4">
        <v>0</v>
      </c>
      <c r="J49" s="4">
        <v>0</v>
      </c>
      <c r="K49" s="4">
        <v>0</v>
      </c>
      <c r="L49" s="4">
        <v>3</v>
      </c>
      <c r="M49" s="4">
        <v>0</v>
      </c>
      <c r="N49" s="4" t="s">
        <v>18</v>
      </c>
      <c r="O49" s="4">
        <v>0</v>
      </c>
      <c r="P49" s="3">
        <f>=0</f>
      </c>
    </row>
    <row r="50" spans="1:16" x14ac:dyDescent="0.25">
      <c r="A50" s="2" t="s">
        <v>135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136</v>
      </c>
      <c r="H50" s="4">
        <v>0</v>
      </c>
      <c r="I50" s="4">
        <v>0</v>
      </c>
      <c r="J50" s="4">
        <v>0</v>
      </c>
      <c r="K50" s="4">
        <v>0</v>
      </c>
      <c r="L50" s="4">
        <v>3</v>
      </c>
      <c r="M50" s="4">
        <v>0</v>
      </c>
      <c r="N50" s="4" t="s">
        <v>18</v>
      </c>
      <c r="O50" s="4">
        <v>0</v>
      </c>
      <c r="P50" s="3">
        <f>=0</f>
      </c>
    </row>
    <row r="51" spans="1:16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">
        <v>25</v>
      </c>
      <c r="P51" s="6">
        <f>=SUM(P2:P50)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137</v>
      </c>
      <c r="B2" s="4">
        <v>1</v>
      </c>
      <c r="C2" s="4" t="s">
        <v>27</v>
      </c>
      <c r="D2" s="4"/>
      <c r="E2" s="4"/>
      <c r="F2" s="4">
        <v>20</v>
      </c>
      <c r="G2" s="4" t="s">
        <v>138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139</v>
      </c>
      <c r="B3" s="4">
        <v>1</v>
      </c>
      <c r="C3" s="4" t="s">
        <v>27</v>
      </c>
      <c r="D3" s="4"/>
      <c r="E3" s="4"/>
      <c r="F3" s="4">
        <v>20</v>
      </c>
      <c r="G3" s="4" t="s">
        <v>140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141</v>
      </c>
      <c r="B4" s="4">
        <v>1</v>
      </c>
      <c r="C4" s="4" t="s">
        <v>27</v>
      </c>
      <c r="D4" s="4"/>
      <c r="E4" s="4"/>
      <c r="F4" s="4">
        <v>29</v>
      </c>
      <c r="G4" s="4" t="s">
        <v>142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143</v>
      </c>
      <c r="B5" s="4">
        <v>1</v>
      </c>
      <c r="C5" s="4" t="s">
        <v>27</v>
      </c>
      <c r="D5" s="4"/>
      <c r="E5" s="4"/>
      <c r="F5" s="4">
        <v>29</v>
      </c>
      <c r="G5" s="4" t="s">
        <v>144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145</v>
      </c>
      <c r="B6" s="4">
        <v>2</v>
      </c>
      <c r="C6" s="4" t="s">
        <v>27</v>
      </c>
      <c r="D6" s="4"/>
      <c r="E6" s="4"/>
      <c r="F6" s="4">
        <v>29</v>
      </c>
      <c r="G6" s="4" t="s">
        <v>146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147</v>
      </c>
      <c r="B7" s="4">
        <v>2</v>
      </c>
      <c r="C7" s="4" t="s">
        <v>27</v>
      </c>
      <c r="D7" s="4"/>
      <c r="E7" s="4"/>
      <c r="F7" s="4">
        <v>22</v>
      </c>
      <c r="G7" s="4" t="s">
        <v>148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149</v>
      </c>
      <c r="B8" s="4">
        <v>1</v>
      </c>
      <c r="C8" s="4" t="s">
        <v>27</v>
      </c>
      <c r="D8" s="4"/>
      <c r="E8" s="4"/>
      <c r="F8" s="4">
        <v>20</v>
      </c>
      <c r="G8" s="4" t="s">
        <v>150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151</v>
      </c>
      <c r="B9" s="4">
        <v>2</v>
      </c>
      <c r="C9" s="4" t="s">
        <v>27</v>
      </c>
      <c r="D9" s="4"/>
      <c r="E9" s="4"/>
      <c r="F9" s="4">
        <v>35</v>
      </c>
      <c r="G9" s="4" t="s">
        <v>152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153</v>
      </c>
      <c r="B10" s="4">
        <v>1</v>
      </c>
      <c r="C10" s="4" t="s">
        <v>27</v>
      </c>
      <c r="D10" s="4"/>
      <c r="E10" s="4"/>
      <c r="F10" s="4">
        <v>50</v>
      </c>
      <c r="G10" s="4" t="s">
        <v>154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155</v>
      </c>
      <c r="B11" s="4">
        <v>1</v>
      </c>
      <c r="C11" s="4" t="s">
        <v>27</v>
      </c>
      <c r="D11" s="4"/>
      <c r="E11" s="4"/>
      <c r="F11" s="4">
        <v>17.5</v>
      </c>
      <c r="G11" s="4" t="s">
        <v>87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156</v>
      </c>
      <c r="B12" s="4">
        <v>4</v>
      </c>
      <c r="C12" s="4" t="s">
        <v>27</v>
      </c>
      <c r="D12" s="4"/>
      <c r="E12" s="4"/>
      <c r="F12" s="4">
        <v>9.5</v>
      </c>
      <c r="G12" s="4" t="s">
        <v>157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158</v>
      </c>
      <c r="B13" s="4">
        <v>3</v>
      </c>
      <c r="C13" s="4" t="s">
        <v>27</v>
      </c>
      <c r="D13" s="4"/>
      <c r="E13" s="4"/>
      <c r="F13" s="4">
        <v>15</v>
      </c>
      <c r="G13" s="4" t="s">
        <v>159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160</v>
      </c>
      <c r="B14" s="4">
        <v>3</v>
      </c>
      <c r="C14" s="4" t="s">
        <v>27</v>
      </c>
      <c r="D14" s="4"/>
      <c r="E14" s="4"/>
      <c r="F14" s="4">
        <v>18</v>
      </c>
      <c r="G14" s="4" t="s">
        <v>161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162</v>
      </c>
      <c r="B15" s="4">
        <v>7</v>
      </c>
      <c r="C15" s="4" t="s">
        <v>27</v>
      </c>
      <c r="D15" s="4"/>
      <c r="E15" s="4"/>
      <c r="F15" s="4">
        <v>18</v>
      </c>
      <c r="G15" s="4" t="s">
        <v>55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163</v>
      </c>
      <c r="B16" s="4">
        <v>1</v>
      </c>
      <c r="C16" s="4" t="s">
        <v>27</v>
      </c>
      <c r="D16" s="4"/>
      <c r="E16" s="4"/>
      <c r="F16" s="4">
        <v>22</v>
      </c>
      <c r="G16" s="4" t="s">
        <v>164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165</v>
      </c>
      <c r="B17" s="4">
        <v>3</v>
      </c>
      <c r="C17" s="4" t="s">
        <v>27</v>
      </c>
      <c r="D17" s="4"/>
      <c r="E17" s="4"/>
      <c r="F17" s="4">
        <v>30</v>
      </c>
      <c r="G17" s="4" t="s">
        <v>166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167</v>
      </c>
      <c r="B18" s="4">
        <v>2</v>
      </c>
      <c r="C18" s="4" t="s">
        <v>27</v>
      </c>
      <c r="D18" s="4"/>
      <c r="E18" s="4"/>
      <c r="F18" s="4">
        <v>50</v>
      </c>
      <c r="G18" s="4" t="s">
        <v>168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169</v>
      </c>
      <c r="B19" s="4">
        <v>0</v>
      </c>
      <c r="C19" s="4" t="s">
        <v>27</v>
      </c>
      <c r="D19" s="4"/>
      <c r="E19" s="4"/>
      <c r="F19" s="4">
        <v>50</v>
      </c>
      <c r="G19" s="4" t="s">
        <v>77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170</v>
      </c>
      <c r="B20" s="4">
        <v>5</v>
      </c>
      <c r="C20" s="4" t="s">
        <v>27</v>
      </c>
      <c r="D20" s="4"/>
      <c r="E20" s="4"/>
      <c r="F20" s="4">
        <v>35.5</v>
      </c>
      <c r="G20" s="4" t="s">
        <v>171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172</v>
      </c>
      <c r="B21" s="4">
        <v>1</v>
      </c>
      <c r="C21" s="4" t="s">
        <v>27</v>
      </c>
      <c r="D21" s="4"/>
      <c r="E21" s="4"/>
      <c r="F21" s="4">
        <v>58</v>
      </c>
      <c r="G21" s="4" t="s">
        <v>173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174</v>
      </c>
      <c r="B22" s="4">
        <v>1</v>
      </c>
      <c r="C22" s="4" t="s">
        <v>27</v>
      </c>
      <c r="D22" s="4"/>
      <c r="E22" s="4"/>
      <c r="F22" s="4">
        <v>21.5</v>
      </c>
      <c r="G22" s="4" t="s">
        <v>175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176</v>
      </c>
      <c r="B23" s="4">
        <v>1</v>
      </c>
      <c r="C23" s="4" t="s">
        <v>27</v>
      </c>
      <c r="D23" s="4"/>
      <c r="E23" s="4"/>
      <c r="F23" s="4">
        <v>25</v>
      </c>
      <c r="G23" s="4" t="s">
        <v>177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178</v>
      </c>
      <c r="B24" s="4">
        <v>1</v>
      </c>
      <c r="C24" s="4" t="s">
        <v>27</v>
      </c>
      <c r="D24" s="4"/>
      <c r="E24" s="4"/>
      <c r="F24" s="4">
        <v>25</v>
      </c>
      <c r="G24" s="4" t="s">
        <v>179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180</v>
      </c>
      <c r="B25" s="4">
        <v>1</v>
      </c>
      <c r="C25" s="4" t="s">
        <v>27</v>
      </c>
      <c r="D25" s="4"/>
      <c r="E25" s="4"/>
      <c r="F25" s="4">
        <v>131</v>
      </c>
      <c r="G25" s="4" t="s">
        <v>181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182</v>
      </c>
      <c r="B26" s="4">
        <v>1</v>
      </c>
      <c r="C26" s="4" t="s">
        <v>27</v>
      </c>
      <c r="D26" s="4"/>
      <c r="E26" s="4"/>
      <c r="F26" s="4">
        <v>30</v>
      </c>
      <c r="G26" s="4" t="s">
        <v>183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184</v>
      </c>
      <c r="B27" s="4">
        <v>1</v>
      </c>
      <c r="C27" s="4" t="s">
        <v>27</v>
      </c>
      <c r="D27" s="4"/>
      <c r="E27" s="4"/>
      <c r="F27" s="4">
        <v>79</v>
      </c>
      <c r="G27" s="4" t="s">
        <v>185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186</v>
      </c>
      <c r="B28" s="4">
        <v>1</v>
      </c>
      <c r="C28" s="4" t="s">
        <v>27</v>
      </c>
      <c r="D28" s="4"/>
      <c r="E28" s="4"/>
      <c r="F28" s="4">
        <v>14.5</v>
      </c>
      <c r="G28" s="4" t="s">
        <v>187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188</v>
      </c>
      <c r="B29" s="4">
        <v>1</v>
      </c>
      <c r="C29" s="4" t="s">
        <v>27</v>
      </c>
      <c r="D29" s="4"/>
      <c r="E29" s="4"/>
      <c r="F29" s="4">
        <v>38</v>
      </c>
      <c r="G29" s="4" t="s">
        <v>189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190</v>
      </c>
      <c r="B30" s="4">
        <v>1</v>
      </c>
      <c r="C30" s="4" t="s">
        <v>27</v>
      </c>
      <c r="D30" s="4"/>
      <c r="E30" s="4"/>
      <c r="F30" s="4">
        <v>19</v>
      </c>
      <c r="G30" s="4" t="s">
        <v>191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192</v>
      </c>
      <c r="B31" s="4">
        <v>1</v>
      </c>
      <c r="C31" s="4" t="s">
        <v>27</v>
      </c>
      <c r="D31" s="4"/>
      <c r="E31" s="4"/>
      <c r="F31" s="4">
        <v>19</v>
      </c>
      <c r="G31" s="4" t="s">
        <v>193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194</v>
      </c>
      <c r="B32" s="4">
        <v>1</v>
      </c>
      <c r="C32" s="4" t="s">
        <v>27</v>
      </c>
      <c r="D32" s="4"/>
      <c r="E32" s="4"/>
      <c r="F32" s="4">
        <v>33</v>
      </c>
      <c r="G32" s="4" t="s">
        <v>195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196</v>
      </c>
      <c r="B33" s="4">
        <v>1</v>
      </c>
      <c r="C33" s="4" t="s">
        <v>27</v>
      </c>
      <c r="D33" s="4"/>
      <c r="E33" s="4"/>
      <c r="F33" s="4">
        <v>35</v>
      </c>
      <c r="G33" s="4" t="s">
        <v>197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198</v>
      </c>
      <c r="B34" s="4">
        <v>1</v>
      </c>
      <c r="C34" s="4" t="s">
        <v>27</v>
      </c>
      <c r="D34" s="4"/>
      <c r="E34" s="4"/>
      <c r="F34" s="4">
        <v>67</v>
      </c>
      <c r="G34" s="4" t="s">
        <v>199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200</v>
      </c>
      <c r="B35" s="4">
        <v>1</v>
      </c>
      <c r="C35" s="4" t="s">
        <v>27</v>
      </c>
      <c r="D35" s="4"/>
      <c r="E35" s="4"/>
      <c r="F35" s="4">
        <v>183</v>
      </c>
      <c r="G35" s="4" t="s">
        <v>201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202</v>
      </c>
      <c r="B36" s="4">
        <v>1</v>
      </c>
      <c r="C36" s="4" t="s">
        <v>27</v>
      </c>
      <c r="D36" s="4"/>
      <c r="E36" s="4"/>
      <c r="F36" s="4">
        <v>143</v>
      </c>
      <c r="G36" s="4" t="s">
        <v>203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204</v>
      </c>
      <c r="B37" s="4">
        <v>1</v>
      </c>
      <c r="C37" s="4" t="s">
        <v>27</v>
      </c>
      <c r="D37" s="4"/>
      <c r="E37" s="4"/>
      <c r="F37" s="4">
        <v>27.5</v>
      </c>
      <c r="G37" s="4" t="s">
        <v>205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206</v>
      </c>
      <c r="B38" s="4">
        <v>0</v>
      </c>
      <c r="C38" s="4" t="s">
        <v>27</v>
      </c>
      <c r="D38" s="4"/>
      <c r="E38" s="4"/>
      <c r="F38" s="4">
        <v>47.5</v>
      </c>
      <c r="G38" s="4" t="s">
        <v>207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208</v>
      </c>
      <c r="B39" s="4">
        <v>0</v>
      </c>
      <c r="C39" s="4" t="s">
        <v>27</v>
      </c>
      <c r="D39" s="4"/>
      <c r="E39" s="4"/>
      <c r="F39" s="4">
        <v>29.5</v>
      </c>
      <c r="G39" s="4" t="s">
        <v>209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210</v>
      </c>
      <c r="B40" s="4">
        <v>0</v>
      </c>
      <c r="C40" s="4" t="s">
        <v>27</v>
      </c>
      <c r="D40" s="4"/>
      <c r="E40" s="4"/>
      <c r="F40" s="4">
        <v>49</v>
      </c>
      <c r="G40" s="4" t="s">
        <v>211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212</v>
      </c>
      <c r="B41" s="4">
        <v>1</v>
      </c>
      <c r="C41" s="4" t="s">
        <v>27</v>
      </c>
      <c r="D41" s="4"/>
      <c r="E41" s="4"/>
      <c r="F41" s="4">
        <v>30</v>
      </c>
      <c r="G41" s="4" t="s">
        <v>213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214</v>
      </c>
      <c r="B42" s="4">
        <v>2</v>
      </c>
      <c r="C42" s="4" t="s">
        <v>27</v>
      </c>
      <c r="D42" s="4"/>
      <c r="E42" s="4"/>
      <c r="F42" s="4">
        <v>41</v>
      </c>
      <c r="G42" s="4" t="s">
        <v>215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216</v>
      </c>
      <c r="B43" s="4">
        <v>1</v>
      </c>
      <c r="C43" s="4" t="s">
        <v>27</v>
      </c>
      <c r="D43" s="4"/>
      <c r="E43" s="4"/>
      <c r="F43" s="4">
        <v>22.5</v>
      </c>
      <c r="G43" s="4" t="s">
        <v>217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218</v>
      </c>
      <c r="B44" s="4">
        <v>8</v>
      </c>
      <c r="C44" s="4" t="s">
        <v>27</v>
      </c>
      <c r="D44" s="4"/>
      <c r="E44" s="4"/>
      <c r="F44" s="4">
        <v>72</v>
      </c>
      <c r="G44" s="4" t="s">
        <v>219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220</v>
      </c>
      <c r="B45" s="4">
        <v>2</v>
      </c>
      <c r="C45" s="4" t="s">
        <v>27</v>
      </c>
      <c r="D45" s="4"/>
      <c r="E45" s="4"/>
      <c r="F45" s="4">
        <v>72</v>
      </c>
      <c r="G45" s="4" t="s">
        <v>221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222</v>
      </c>
      <c r="B46" s="4">
        <v>1</v>
      </c>
      <c r="C46" s="4" t="s">
        <v>27</v>
      </c>
      <c r="D46" s="4"/>
      <c r="E46" s="4"/>
      <c r="F46" s="4">
        <v>41</v>
      </c>
      <c r="G46" s="4" t="s">
        <v>223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224</v>
      </c>
      <c r="B47" s="4">
        <v>1</v>
      </c>
      <c r="C47" s="4" t="s">
        <v>27</v>
      </c>
      <c r="D47" s="4"/>
      <c r="E47" s="4"/>
      <c r="F47" s="4">
        <v>84</v>
      </c>
      <c r="G47" s="4" t="s">
        <v>225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226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227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228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229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230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231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232</v>
      </c>
      <c r="B51" s="4">
        <v>1</v>
      </c>
      <c r="C51" s="4"/>
      <c r="D51" s="4">
        <v>0</v>
      </c>
      <c r="E51" s="4" t="s">
        <v>103</v>
      </c>
      <c r="F51" s="4">
        <v>0</v>
      </c>
      <c r="G51" s="4" t="s">
        <v>233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234</v>
      </c>
      <c r="B52" s="4">
        <v>1</v>
      </c>
      <c r="C52" s="4"/>
      <c r="D52" s="4">
        <v>0</v>
      </c>
      <c r="E52" s="4" t="s">
        <v>103</v>
      </c>
      <c r="F52" s="4">
        <v>0</v>
      </c>
      <c r="G52" s="4" t="s">
        <v>235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236</v>
      </c>
      <c r="B53" s="4">
        <v>140</v>
      </c>
      <c r="C53" s="4"/>
      <c r="D53" s="4">
        <v>0</v>
      </c>
      <c r="E53" s="4" t="s">
        <v>103</v>
      </c>
      <c r="F53" s="4">
        <v>0</v>
      </c>
      <c r="G53" s="4" t="s">
        <v>237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238</v>
      </c>
      <c r="B54" s="4">
        <v>1</v>
      </c>
      <c r="C54" s="4"/>
      <c r="D54" s="4">
        <v>0</v>
      </c>
      <c r="E54" s="4" t="s">
        <v>103</v>
      </c>
      <c r="F54" s="4">
        <v>0</v>
      </c>
      <c r="G54" s="4" t="s">
        <v>239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103</v>
      </c>
      <c r="N54" s="4">
        <v>0</v>
      </c>
      <c r="O54" s="3">
        <f>=0</f>
      </c>
    </row>
    <row r="55" spans="1:15" x14ac:dyDescent="0.25">
      <c r="A55" s="2" t="s">
        <v>240</v>
      </c>
      <c r="B55" s="4">
        <v>1</v>
      </c>
      <c r="C55" s="4"/>
      <c r="D55" s="4">
        <v>0</v>
      </c>
      <c r="E55" s="4" t="s">
        <v>103</v>
      </c>
      <c r="F55" s="4">
        <v>0</v>
      </c>
      <c r="G55" s="4" t="s">
        <v>241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242</v>
      </c>
      <c r="B56" s="4">
        <v>2</v>
      </c>
      <c r="C56" s="4"/>
      <c r="D56" s="4">
        <v>0</v>
      </c>
      <c r="E56" s="4" t="s">
        <v>103</v>
      </c>
      <c r="F56" s="4">
        <v>0</v>
      </c>
      <c r="G56" s="4" t="s">
        <v>243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103</v>
      </c>
      <c r="N56" s="4">
        <v>0</v>
      </c>
      <c r="O56" s="3">
        <f>=0</f>
      </c>
    </row>
    <row r="57" spans="1:15" x14ac:dyDescent="0.25">
      <c r="A57" s="2" t="s">
        <v>244</v>
      </c>
      <c r="B57" s="4">
        <v>2</v>
      </c>
      <c r="C57" s="4"/>
      <c r="D57" s="4">
        <v>0</v>
      </c>
      <c r="E57" s="4" t="s">
        <v>103</v>
      </c>
      <c r="F57" s="4">
        <v>0</v>
      </c>
      <c r="G57" s="4" t="s">
        <v>245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103</v>
      </c>
      <c r="N57" s="4">
        <v>0</v>
      </c>
      <c r="O57" s="3">
        <f>=0</f>
      </c>
    </row>
    <row r="58" spans="1:15" x14ac:dyDescent="0.25">
      <c r="A58" s="2" t="s">
        <v>246</v>
      </c>
      <c r="B58" s="4">
        <v>1</v>
      </c>
      <c r="C58" s="4"/>
      <c r="D58" s="4">
        <v>0</v>
      </c>
      <c r="E58" s="4" t="s">
        <v>103</v>
      </c>
      <c r="F58" s="4">
        <v>0</v>
      </c>
      <c r="G58" s="4" t="s">
        <v>247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248</v>
      </c>
      <c r="B59" s="4">
        <v>1</v>
      </c>
      <c r="C59" s="4"/>
      <c r="D59" s="4">
        <v>0</v>
      </c>
      <c r="E59" s="4" t="s">
        <v>103</v>
      </c>
      <c r="F59" s="4">
        <v>0</v>
      </c>
      <c r="G59" s="4" t="s">
        <v>249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250</v>
      </c>
      <c r="B60" s="4">
        <v>1</v>
      </c>
      <c r="C60" s="4"/>
      <c r="D60" s="4">
        <v>0</v>
      </c>
      <c r="E60" s="4" t="s">
        <v>103</v>
      </c>
      <c r="F60" s="4">
        <v>0</v>
      </c>
      <c r="G60" s="4" t="s">
        <v>251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252</v>
      </c>
      <c r="B61" s="4">
        <v>1</v>
      </c>
      <c r="C61" s="4"/>
      <c r="D61" s="4">
        <v>0</v>
      </c>
      <c r="E61" s="4" t="s">
        <v>103</v>
      </c>
      <c r="F61" s="4">
        <v>0</v>
      </c>
      <c r="G61" s="4" t="s">
        <v>253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254</v>
      </c>
      <c r="B62" s="4">
        <v>1</v>
      </c>
      <c r="C62" s="4"/>
      <c r="D62" s="4">
        <v>0</v>
      </c>
      <c r="E62" s="4" t="s">
        <v>103</v>
      </c>
      <c r="F62" s="4">
        <v>0</v>
      </c>
      <c r="G62" s="4" t="s">
        <v>255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256</v>
      </c>
      <c r="B2" s="4">
        <v>1</v>
      </c>
      <c r="C2" s="4" t="s">
        <v>27</v>
      </c>
      <c r="D2" s="4"/>
      <c r="E2" s="4"/>
      <c r="F2" s="4">
        <v>19.5</v>
      </c>
      <c r="G2" s="4" t="s">
        <v>257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258</v>
      </c>
      <c r="B3" s="4">
        <v>1</v>
      </c>
      <c r="C3" s="4" t="s">
        <v>27</v>
      </c>
      <c r="D3" s="4"/>
      <c r="E3" s="4"/>
      <c r="F3" s="4">
        <v>10</v>
      </c>
      <c r="G3" s="4" t="s">
        <v>259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260</v>
      </c>
      <c r="B4" s="4">
        <v>1</v>
      </c>
      <c r="C4" s="4" t="s">
        <v>27</v>
      </c>
      <c r="D4" s="4"/>
      <c r="E4" s="4"/>
      <c r="F4" s="4">
        <v>27</v>
      </c>
      <c r="G4" s="4" t="s">
        <v>261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262</v>
      </c>
      <c r="B5" s="4">
        <v>1</v>
      </c>
      <c r="C5" s="4" t="s">
        <v>27</v>
      </c>
      <c r="D5" s="4"/>
      <c r="E5" s="4"/>
      <c r="F5" s="4">
        <v>67</v>
      </c>
      <c r="G5" s="4" t="s">
        <v>263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264</v>
      </c>
      <c r="B6" s="4">
        <v>1</v>
      </c>
      <c r="C6" s="4" t="s">
        <v>27</v>
      </c>
      <c r="D6" s="4"/>
      <c r="E6" s="4"/>
      <c r="F6" s="4">
        <v>78</v>
      </c>
      <c r="G6" s="4" t="s">
        <v>265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266</v>
      </c>
      <c r="B7" s="4">
        <v>1</v>
      </c>
      <c r="C7" s="4" t="s">
        <v>27</v>
      </c>
      <c r="D7" s="4"/>
      <c r="E7" s="4"/>
      <c r="F7" s="4">
        <v>90</v>
      </c>
      <c r="G7" s="4" t="s">
        <v>267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268</v>
      </c>
      <c r="B8" s="4">
        <v>1</v>
      </c>
      <c r="C8" s="4" t="s">
        <v>27</v>
      </c>
      <c r="D8" s="4"/>
      <c r="E8" s="4"/>
      <c r="F8" s="4">
        <v>19</v>
      </c>
      <c r="G8" s="4" t="s">
        <v>269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270</v>
      </c>
      <c r="B9" s="4">
        <v>1</v>
      </c>
      <c r="C9" s="4" t="s">
        <v>27</v>
      </c>
      <c r="D9" s="4"/>
      <c r="E9" s="4"/>
      <c r="F9" s="4">
        <v>63</v>
      </c>
      <c r="G9" s="4" t="s">
        <v>271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272</v>
      </c>
      <c r="B10" s="4">
        <v>73</v>
      </c>
      <c r="C10" s="4" t="s">
        <v>27</v>
      </c>
      <c r="D10" s="4"/>
      <c r="E10" s="4"/>
      <c r="F10" s="4">
        <v>10</v>
      </c>
      <c r="G10" s="4" t="s">
        <v>273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274</v>
      </c>
      <c r="B11" s="4">
        <v>42</v>
      </c>
      <c r="C11" s="4" t="s">
        <v>27</v>
      </c>
      <c r="D11" s="4"/>
      <c r="E11" s="4"/>
      <c r="F11" s="4">
        <v>15</v>
      </c>
      <c r="G11" s="4" t="s">
        <v>275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276</v>
      </c>
      <c r="B12" s="4">
        <v>1</v>
      </c>
      <c r="C12" s="4" t="s">
        <v>27</v>
      </c>
      <c r="D12" s="4"/>
      <c r="E12" s="4"/>
      <c r="F12" s="4">
        <v>31</v>
      </c>
      <c r="G12" s="4" t="s">
        <v>277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278</v>
      </c>
      <c r="B13" s="4">
        <v>1</v>
      </c>
      <c r="C13" s="4" t="s">
        <v>27</v>
      </c>
      <c r="D13" s="4"/>
      <c r="E13" s="4"/>
      <c r="F13" s="4">
        <v>50</v>
      </c>
      <c r="G13" s="4" t="s">
        <v>279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280</v>
      </c>
      <c r="B14" s="4">
        <v>1</v>
      </c>
      <c r="C14" s="4" t="s">
        <v>27</v>
      </c>
      <c r="D14" s="4"/>
      <c r="E14" s="4"/>
      <c r="F14" s="4">
        <v>18</v>
      </c>
      <c r="G14" s="4" t="s">
        <v>281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282</v>
      </c>
      <c r="B15" s="4">
        <v>1</v>
      </c>
      <c r="C15" s="4" t="s">
        <v>27</v>
      </c>
      <c r="D15" s="4"/>
      <c r="E15" s="4"/>
      <c r="F15" s="4">
        <v>64</v>
      </c>
      <c r="G15" s="4" t="s">
        <v>283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284</v>
      </c>
      <c r="B16" s="4">
        <v>1</v>
      </c>
      <c r="C16" s="4" t="s">
        <v>27</v>
      </c>
      <c r="D16" s="4"/>
      <c r="E16" s="4"/>
      <c r="F16" s="4">
        <v>78</v>
      </c>
      <c r="G16" s="4" t="s">
        <v>285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286</v>
      </c>
      <c r="B17" s="4">
        <v>1</v>
      </c>
      <c r="C17" s="4" t="s">
        <v>27</v>
      </c>
      <c r="D17" s="4"/>
      <c r="E17" s="4"/>
      <c r="F17" s="4">
        <v>90</v>
      </c>
      <c r="G17" s="4" t="s">
        <v>287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288</v>
      </c>
      <c r="B18" s="4">
        <v>1</v>
      </c>
      <c r="C18" s="4" t="s">
        <v>27</v>
      </c>
      <c r="D18" s="4"/>
      <c r="E18" s="4"/>
      <c r="F18" s="4">
        <v>43</v>
      </c>
      <c r="G18" s="4" t="s">
        <v>289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290</v>
      </c>
      <c r="B19" s="4">
        <v>1</v>
      </c>
      <c r="C19" s="4" t="s">
        <v>27</v>
      </c>
      <c r="D19" s="4"/>
      <c r="E19" s="4"/>
      <c r="F19" s="4">
        <v>33</v>
      </c>
      <c r="G19" s="4" t="s">
        <v>291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292</v>
      </c>
      <c r="B20" s="4">
        <v>1</v>
      </c>
      <c r="C20" s="4" t="s">
        <v>27</v>
      </c>
      <c r="D20" s="4"/>
      <c r="E20" s="4"/>
      <c r="F20" s="4">
        <v>19</v>
      </c>
      <c r="G20" s="4" t="s">
        <v>293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294</v>
      </c>
      <c r="B21" s="4">
        <v>1</v>
      </c>
      <c r="C21" s="4" t="s">
        <v>27</v>
      </c>
      <c r="D21" s="4"/>
      <c r="E21" s="4"/>
      <c r="F21" s="4">
        <v>34</v>
      </c>
      <c r="G21" s="4" t="s">
        <v>295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296</v>
      </c>
      <c r="B22" s="4">
        <v>1</v>
      </c>
      <c r="C22" s="4" t="s">
        <v>27</v>
      </c>
      <c r="D22" s="4"/>
      <c r="E22" s="4"/>
      <c r="F22" s="4">
        <v>27.5</v>
      </c>
      <c r="G22" s="4" t="s">
        <v>297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298</v>
      </c>
      <c r="B23" s="4">
        <v>1</v>
      </c>
      <c r="C23" s="4" t="s">
        <v>27</v>
      </c>
      <c r="D23" s="4"/>
      <c r="E23" s="4"/>
      <c r="F23" s="4">
        <v>44</v>
      </c>
      <c r="G23" s="4" t="s">
        <v>299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300</v>
      </c>
      <c r="B24" s="4">
        <v>1</v>
      </c>
      <c r="C24" s="4" t="s">
        <v>27</v>
      </c>
      <c r="D24" s="4"/>
      <c r="E24" s="4"/>
      <c r="F24" s="4">
        <v>32</v>
      </c>
      <c r="G24" s="4" t="s">
        <v>301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302</v>
      </c>
      <c r="B25" s="4">
        <v>1</v>
      </c>
      <c r="C25" s="4" t="s">
        <v>27</v>
      </c>
      <c r="D25" s="4"/>
      <c r="E25" s="4"/>
      <c r="F25" s="4">
        <v>30</v>
      </c>
      <c r="G25" s="4" t="s">
        <v>303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304</v>
      </c>
      <c r="B26" s="4">
        <v>1</v>
      </c>
      <c r="C26" s="4" t="s">
        <v>27</v>
      </c>
      <c r="D26" s="4"/>
      <c r="E26" s="4"/>
      <c r="F26" s="4">
        <v>15.5</v>
      </c>
      <c r="G26" s="4" t="s">
        <v>305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306</v>
      </c>
      <c r="B27" s="4">
        <v>1</v>
      </c>
      <c r="C27" s="4" t="s">
        <v>27</v>
      </c>
      <c r="D27" s="4"/>
      <c r="E27" s="4"/>
      <c r="F27" s="4">
        <v>18</v>
      </c>
      <c r="G27" s="4" t="s">
        <v>307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308</v>
      </c>
      <c r="B28" s="4">
        <v>1</v>
      </c>
      <c r="C28" s="4" t="s">
        <v>27</v>
      </c>
      <c r="D28" s="4"/>
      <c r="E28" s="4"/>
      <c r="F28" s="4">
        <v>40</v>
      </c>
      <c r="G28" s="4" t="s">
        <v>309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310</v>
      </c>
      <c r="B29" s="4">
        <v>1</v>
      </c>
      <c r="C29" s="4" t="s">
        <v>27</v>
      </c>
      <c r="D29" s="4"/>
      <c r="E29" s="4"/>
      <c r="F29" s="4">
        <v>46</v>
      </c>
      <c r="G29" s="4" t="s">
        <v>311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312</v>
      </c>
      <c r="B30" s="4">
        <v>1</v>
      </c>
      <c r="C30" s="4" t="s">
        <v>27</v>
      </c>
      <c r="D30" s="4"/>
      <c r="E30" s="4"/>
      <c r="F30" s="4">
        <v>29</v>
      </c>
      <c r="G30" s="4" t="s">
        <v>313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314</v>
      </c>
      <c r="B31" s="4">
        <v>1</v>
      </c>
      <c r="C31" s="4" t="s">
        <v>27</v>
      </c>
      <c r="D31" s="4"/>
      <c r="E31" s="4"/>
      <c r="F31" s="4">
        <v>48</v>
      </c>
      <c r="G31" s="4" t="s">
        <v>315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316</v>
      </c>
      <c r="B32" s="4">
        <v>3</v>
      </c>
      <c r="C32" s="4" t="s">
        <v>27</v>
      </c>
      <c r="D32" s="4"/>
      <c r="E32" s="4"/>
      <c r="F32" s="4">
        <v>50</v>
      </c>
      <c r="G32" s="4" t="s">
        <v>317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318</v>
      </c>
      <c r="B33" s="4">
        <v>1</v>
      </c>
      <c r="C33" s="4" t="s">
        <v>27</v>
      </c>
      <c r="D33" s="4"/>
      <c r="E33" s="4"/>
      <c r="F33" s="4">
        <v>10</v>
      </c>
      <c r="G33" s="4" t="s">
        <v>319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320</v>
      </c>
      <c r="B34" s="4">
        <v>1</v>
      </c>
      <c r="C34" s="4" t="s">
        <v>27</v>
      </c>
      <c r="D34" s="4"/>
      <c r="E34" s="4"/>
      <c r="F34" s="4">
        <v>14</v>
      </c>
      <c r="G34" s="4" t="s">
        <v>321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322</v>
      </c>
      <c r="B35" s="4">
        <v>1</v>
      </c>
      <c r="C35" s="4" t="s">
        <v>27</v>
      </c>
      <c r="D35" s="4"/>
      <c r="E35" s="4"/>
      <c r="F35" s="4">
        <v>46</v>
      </c>
      <c r="G35" s="4" t="s">
        <v>323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324</v>
      </c>
      <c r="B36" s="4">
        <v>1</v>
      </c>
      <c r="C36" s="4" t="s">
        <v>27</v>
      </c>
      <c r="D36" s="4"/>
      <c r="E36" s="4"/>
      <c r="F36" s="4">
        <v>40</v>
      </c>
      <c r="G36" s="4" t="s">
        <v>325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326</v>
      </c>
      <c r="B37" s="4">
        <v>1</v>
      </c>
      <c r="C37" s="4" t="s">
        <v>27</v>
      </c>
      <c r="D37" s="4"/>
      <c r="E37" s="4"/>
      <c r="F37" s="4">
        <v>16</v>
      </c>
      <c r="G37" s="4" t="s">
        <v>327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328</v>
      </c>
      <c r="B38" s="4">
        <v>1</v>
      </c>
      <c r="C38" s="4" t="s">
        <v>27</v>
      </c>
      <c r="D38" s="4"/>
      <c r="E38" s="4"/>
      <c r="F38" s="4">
        <v>30</v>
      </c>
      <c r="G38" s="4" t="s">
        <v>329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330</v>
      </c>
      <c r="B39" s="4">
        <v>1</v>
      </c>
      <c r="C39" s="4" t="s">
        <v>27</v>
      </c>
      <c r="D39" s="4"/>
      <c r="E39" s="4"/>
      <c r="F39" s="4">
        <v>19</v>
      </c>
      <c r="G39" s="4" t="s">
        <v>331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332</v>
      </c>
      <c r="B40" s="4">
        <v>3</v>
      </c>
      <c r="C40" s="4" t="s">
        <v>27</v>
      </c>
      <c r="D40" s="4"/>
      <c r="E40" s="4"/>
      <c r="F40" s="4">
        <v>20</v>
      </c>
      <c r="G40" s="4" t="s">
        <v>333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334</v>
      </c>
      <c r="B41" s="4">
        <v>1</v>
      </c>
      <c r="C41" s="4" t="s">
        <v>27</v>
      </c>
      <c r="D41" s="4"/>
      <c r="E41" s="4"/>
      <c r="F41" s="4">
        <v>22</v>
      </c>
      <c r="G41" s="4" t="s">
        <v>335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336</v>
      </c>
      <c r="B42" s="4">
        <v>1</v>
      </c>
      <c r="C42" s="4" t="s">
        <v>27</v>
      </c>
      <c r="D42" s="4"/>
      <c r="E42" s="4"/>
      <c r="F42" s="4">
        <v>16</v>
      </c>
      <c r="G42" s="4" t="s">
        <v>337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338</v>
      </c>
      <c r="B43" s="4">
        <v>1</v>
      </c>
      <c r="C43" s="4" t="s">
        <v>27</v>
      </c>
      <c r="D43" s="4"/>
      <c r="E43" s="4"/>
      <c r="F43" s="4">
        <v>28.5</v>
      </c>
      <c r="G43" s="4" t="s">
        <v>339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340</v>
      </c>
      <c r="B44" s="4">
        <v>1</v>
      </c>
      <c r="C44" s="4" t="s">
        <v>27</v>
      </c>
      <c r="D44" s="4"/>
      <c r="E44" s="4"/>
      <c r="F44" s="4">
        <v>20</v>
      </c>
      <c r="G44" s="4" t="s">
        <v>341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342</v>
      </c>
      <c r="B45" s="4">
        <v>1</v>
      </c>
      <c r="C45" s="4" t="s">
        <v>27</v>
      </c>
      <c r="D45" s="4"/>
      <c r="E45" s="4"/>
      <c r="F45" s="4">
        <v>37</v>
      </c>
      <c r="G45" s="4" t="s">
        <v>343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344</v>
      </c>
      <c r="B46" s="4">
        <v>1</v>
      </c>
      <c r="C46" s="4" t="s">
        <v>27</v>
      </c>
      <c r="D46" s="4"/>
      <c r="E46" s="4"/>
      <c r="F46" s="4">
        <v>23</v>
      </c>
      <c r="G46" s="4" t="s">
        <v>345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346</v>
      </c>
      <c r="B47" s="4">
        <v>50</v>
      </c>
      <c r="C47" s="4" t="s">
        <v>27</v>
      </c>
      <c r="D47" s="4"/>
      <c r="E47" s="4"/>
      <c r="F47" s="4">
        <v>29.7</v>
      </c>
      <c r="G47" s="4" t="s">
        <v>347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348</v>
      </c>
      <c r="B48" s="4">
        <v>34</v>
      </c>
      <c r="C48" s="4" t="s">
        <v>27</v>
      </c>
      <c r="D48" s="4"/>
      <c r="E48" s="4"/>
      <c r="F48" s="4">
        <v>21</v>
      </c>
      <c r="G48" s="4" t="s">
        <v>349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350</v>
      </c>
      <c r="B49" s="4">
        <v>27</v>
      </c>
      <c r="C49" s="4" t="s">
        <v>27</v>
      </c>
      <c r="D49" s="4"/>
      <c r="E49" s="4"/>
      <c r="F49" s="4">
        <v>14.8</v>
      </c>
      <c r="G49" s="4" t="s">
        <v>351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352</v>
      </c>
      <c r="B50" s="4">
        <v>1</v>
      </c>
      <c r="C50" s="4" t="s">
        <v>27</v>
      </c>
      <c r="D50" s="4"/>
      <c r="E50" s="4"/>
      <c r="F50" s="4">
        <v>32</v>
      </c>
      <c r="G50" s="4" t="s">
        <v>353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354</v>
      </c>
      <c r="B51" s="4">
        <v>1</v>
      </c>
      <c r="C51" s="4" t="s">
        <v>27</v>
      </c>
      <c r="D51" s="4"/>
      <c r="E51" s="4"/>
      <c r="F51" s="4">
        <v>15</v>
      </c>
      <c r="G51" s="4" t="s">
        <v>355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356</v>
      </c>
      <c r="B52" s="4">
        <v>1</v>
      </c>
      <c r="C52" s="4" t="s">
        <v>27</v>
      </c>
      <c r="D52" s="4"/>
      <c r="E52" s="4"/>
      <c r="F52" s="4">
        <v>24</v>
      </c>
      <c r="G52" s="4" t="s">
        <v>357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358</v>
      </c>
      <c r="B53" s="4">
        <v>2</v>
      </c>
      <c r="C53" s="4" t="s">
        <v>27</v>
      </c>
      <c r="D53" s="4"/>
      <c r="E53" s="4"/>
      <c r="F53" s="4">
        <v>38</v>
      </c>
      <c r="G53" s="4" t="s">
        <v>359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360</v>
      </c>
      <c r="B54" s="4">
        <v>1</v>
      </c>
      <c r="C54" s="4" t="s">
        <v>27</v>
      </c>
      <c r="D54" s="4"/>
      <c r="E54" s="4"/>
      <c r="F54" s="4">
        <v>72.5</v>
      </c>
      <c r="G54" s="4" t="s">
        <v>361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362</v>
      </c>
      <c r="B55" s="4">
        <v>1</v>
      </c>
      <c r="C55" s="4" t="s">
        <v>27</v>
      </c>
      <c r="D55" s="4"/>
      <c r="E55" s="4"/>
      <c r="F55" s="4">
        <v>17.5</v>
      </c>
      <c r="G55" s="4" t="s">
        <v>363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364</v>
      </c>
      <c r="B56" s="4">
        <v>1</v>
      </c>
      <c r="C56" s="4" t="s">
        <v>27</v>
      </c>
      <c r="D56" s="4"/>
      <c r="E56" s="4"/>
      <c r="F56" s="4">
        <v>12</v>
      </c>
      <c r="G56" s="4" t="s">
        <v>365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366</v>
      </c>
      <c r="B57" s="4">
        <v>1</v>
      </c>
      <c r="C57" s="4" t="s">
        <v>27</v>
      </c>
      <c r="D57" s="4"/>
      <c r="E57" s="4"/>
      <c r="F57" s="4">
        <v>31</v>
      </c>
      <c r="G57" s="4" t="s">
        <v>367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368</v>
      </c>
      <c r="B58" s="4">
        <v>1</v>
      </c>
      <c r="C58" s="4" t="s">
        <v>27</v>
      </c>
      <c r="D58" s="4"/>
      <c r="E58" s="4"/>
      <c r="F58" s="4">
        <v>25.5</v>
      </c>
      <c r="G58" s="4" t="s">
        <v>369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370</v>
      </c>
      <c r="B59" s="4">
        <v>0</v>
      </c>
      <c r="C59" s="4" t="s">
        <v>27</v>
      </c>
      <c r="D59" s="4"/>
      <c r="E59" s="4"/>
      <c r="F59" s="4">
        <v>55</v>
      </c>
      <c r="G59" s="4" t="s">
        <v>371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372</v>
      </c>
      <c r="B60" s="4">
        <v>0</v>
      </c>
      <c r="C60" s="4" t="s">
        <v>27</v>
      </c>
      <c r="D60" s="4"/>
      <c r="E60" s="4"/>
      <c r="F60" s="4">
        <v>25</v>
      </c>
      <c r="G60" s="4" t="s">
        <v>373</v>
      </c>
      <c r="H60" s="4"/>
      <c r="I60" s="4"/>
      <c r="J60" s="4">
        <v>6.08</v>
      </c>
      <c r="K60" s="4">
        <v>3</v>
      </c>
      <c r="L60" s="4"/>
      <c r="M60" s="4" t="s">
        <v>103</v>
      </c>
      <c r="N60" s="4">
        <v>145</v>
      </c>
      <c r="O60" s="3">
        <f>=B60*(N60*F60/10000)*J60</f>
      </c>
    </row>
    <row r="61" spans="1:15" x14ac:dyDescent="0.25">
      <c r="A61" s="2" t="s">
        <v>374</v>
      </c>
      <c r="B61" s="4">
        <v>2</v>
      </c>
      <c r="C61" s="4" t="s">
        <v>27</v>
      </c>
      <c r="D61" s="4"/>
      <c r="E61" s="4"/>
      <c r="F61" s="4">
        <v>30</v>
      </c>
      <c r="G61" s="4" t="s">
        <v>375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376</v>
      </c>
      <c r="B62" s="4">
        <v>1</v>
      </c>
      <c r="C62" s="4" t="s">
        <v>27</v>
      </c>
      <c r="D62" s="4"/>
      <c r="E62" s="4"/>
      <c r="F62" s="4">
        <v>32</v>
      </c>
      <c r="G62" s="4" t="s">
        <v>377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378</v>
      </c>
      <c r="B63" s="4">
        <v>1</v>
      </c>
      <c r="C63" s="4" t="s">
        <v>27</v>
      </c>
      <c r="D63" s="4"/>
      <c r="E63" s="4"/>
      <c r="F63" s="4">
        <v>34</v>
      </c>
      <c r="G63" s="4" t="s">
        <v>379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380</v>
      </c>
      <c r="B64" s="4">
        <v>1</v>
      </c>
      <c r="C64" s="4"/>
      <c r="D64" s="4">
        <v>0</v>
      </c>
      <c r="E64" s="4" t="s">
        <v>103</v>
      </c>
      <c r="F64" s="4">
        <v>0</v>
      </c>
      <c r="G64" s="4" t="s">
        <v>381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382</v>
      </c>
      <c r="B65" s="4">
        <v>1</v>
      </c>
      <c r="C65" s="4"/>
      <c r="D65" s="4">
        <v>0</v>
      </c>
      <c r="E65" s="4" t="s">
        <v>103</v>
      </c>
      <c r="F65" s="4">
        <v>0</v>
      </c>
      <c r="G65" s="4" t="s">
        <v>383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103</v>
      </c>
      <c r="N65" s="4">
        <v>0</v>
      </c>
      <c r="O65" s="3">
        <f>=0</f>
      </c>
    </row>
    <row r="66" spans="1:15" x14ac:dyDescent="0.25">
      <c r="A66" s="2" t="s">
        <v>384</v>
      </c>
      <c r="B66" s="4">
        <v>5</v>
      </c>
      <c r="C66" s="4"/>
      <c r="D66" s="4">
        <v>0</v>
      </c>
      <c r="E66" s="4" t="s">
        <v>103</v>
      </c>
      <c r="F66" s="4">
        <v>0</v>
      </c>
      <c r="G66" s="4" t="s">
        <v>385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386</v>
      </c>
      <c r="B67" s="4">
        <v>1</v>
      </c>
      <c r="C67" s="4"/>
      <c r="D67" s="4">
        <v>0</v>
      </c>
      <c r="E67" s="4" t="s">
        <v>103</v>
      </c>
      <c r="F67" s="4">
        <v>0</v>
      </c>
      <c r="G67" s="4" t="s">
        <v>387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388</v>
      </c>
      <c r="B68" s="4">
        <v>1</v>
      </c>
      <c r="C68" s="4"/>
      <c r="D68" s="4">
        <v>0</v>
      </c>
      <c r="E68" s="4" t="s">
        <v>103</v>
      </c>
      <c r="F68" s="4">
        <v>0</v>
      </c>
      <c r="G68" s="4" t="s">
        <v>389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390</v>
      </c>
      <c r="B69" s="4">
        <v>1</v>
      </c>
      <c r="C69" s="4"/>
      <c r="D69" s="4">
        <v>0</v>
      </c>
      <c r="E69" s="4" t="s">
        <v>103</v>
      </c>
      <c r="F69" s="4">
        <v>0</v>
      </c>
      <c r="G69" s="4" t="s">
        <v>391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392</v>
      </c>
      <c r="B70" s="4">
        <v>1</v>
      </c>
      <c r="C70" s="4"/>
      <c r="D70" s="4">
        <v>0</v>
      </c>
      <c r="E70" s="4" t="s">
        <v>103</v>
      </c>
      <c r="F70" s="4">
        <v>0</v>
      </c>
      <c r="G70" s="4" t="s">
        <v>393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394</v>
      </c>
      <c r="B71" s="4">
        <v>1</v>
      </c>
      <c r="C71" s="4"/>
      <c r="D71" s="4">
        <v>0</v>
      </c>
      <c r="E71" s="4" t="s">
        <v>103</v>
      </c>
      <c r="F71" s="4">
        <v>0</v>
      </c>
      <c r="G71" s="4" t="s">
        <v>395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396</v>
      </c>
      <c r="B72" s="4">
        <v>1</v>
      </c>
      <c r="C72" s="4"/>
      <c r="D72" s="4">
        <v>0</v>
      </c>
      <c r="E72" s="4" t="s">
        <v>103</v>
      </c>
      <c r="F72" s="4">
        <v>0</v>
      </c>
      <c r="G72" s="4" t="s">
        <v>397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398</v>
      </c>
      <c r="B73" s="4">
        <v>1</v>
      </c>
      <c r="C73" s="4"/>
      <c r="D73" s="4">
        <v>0</v>
      </c>
      <c r="E73" s="4" t="s">
        <v>103</v>
      </c>
      <c r="F73" s="4">
        <v>0</v>
      </c>
      <c r="G73" s="4" t="s">
        <v>399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400</v>
      </c>
      <c r="B74" s="4">
        <v>1</v>
      </c>
      <c r="C74" s="4"/>
      <c r="D74" s="4">
        <v>0</v>
      </c>
      <c r="E74" s="4" t="s">
        <v>103</v>
      </c>
      <c r="F74" s="4">
        <v>0</v>
      </c>
      <c r="G74" s="4" t="s">
        <v>401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402</v>
      </c>
      <c r="B2" s="4">
        <v>1</v>
      </c>
      <c r="C2" s="4" t="s">
        <v>27</v>
      </c>
      <c r="D2" s="4"/>
      <c r="E2" s="4"/>
      <c r="F2" s="4">
        <v>30</v>
      </c>
      <c r="G2" s="4" t="s">
        <v>403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404</v>
      </c>
      <c r="B3" s="4">
        <v>1</v>
      </c>
      <c r="C3" s="4" t="s">
        <v>27</v>
      </c>
      <c r="D3" s="4"/>
      <c r="E3" s="4"/>
      <c r="F3" s="4">
        <v>20</v>
      </c>
      <c r="G3" s="4" t="s">
        <v>405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406</v>
      </c>
      <c r="B4" s="4">
        <v>1</v>
      </c>
      <c r="C4" s="4" t="s">
        <v>27</v>
      </c>
      <c r="D4" s="4"/>
      <c r="E4" s="4"/>
      <c r="F4" s="4">
        <v>29</v>
      </c>
      <c r="G4" s="4" t="s">
        <v>407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408</v>
      </c>
      <c r="B5" s="4">
        <v>1</v>
      </c>
      <c r="C5" s="4" t="s">
        <v>27</v>
      </c>
      <c r="D5" s="4"/>
      <c r="E5" s="4"/>
      <c r="F5" s="4">
        <v>28</v>
      </c>
      <c r="G5" s="4" t="s">
        <v>409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410</v>
      </c>
      <c r="B6" s="4">
        <v>2</v>
      </c>
      <c r="C6" s="4" t="s">
        <v>27</v>
      </c>
      <c r="D6" s="4"/>
      <c r="E6" s="4"/>
      <c r="F6" s="4">
        <v>28.5</v>
      </c>
      <c r="G6" s="4" t="s">
        <v>411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412</v>
      </c>
      <c r="B7" s="4">
        <v>1</v>
      </c>
      <c r="C7" s="4" t="s">
        <v>27</v>
      </c>
      <c r="D7" s="4"/>
      <c r="E7" s="4"/>
      <c r="F7" s="4">
        <v>24</v>
      </c>
      <c r="G7" s="4" t="s">
        <v>413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414</v>
      </c>
      <c r="B8" s="4">
        <v>1</v>
      </c>
      <c r="C8" s="4" t="s">
        <v>27</v>
      </c>
      <c r="D8" s="4"/>
      <c r="E8" s="4"/>
      <c r="F8" s="4">
        <v>52</v>
      </c>
      <c r="G8" s="4" t="s">
        <v>415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416</v>
      </c>
      <c r="B9" s="4">
        <v>1</v>
      </c>
      <c r="C9" s="4" t="s">
        <v>27</v>
      </c>
      <c r="D9" s="4"/>
      <c r="E9" s="4"/>
      <c r="F9" s="4">
        <v>30</v>
      </c>
      <c r="G9" s="4" t="s">
        <v>417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418</v>
      </c>
      <c r="B10" s="4">
        <v>1</v>
      </c>
      <c r="C10" s="4" t="s">
        <v>27</v>
      </c>
      <c r="D10" s="4"/>
      <c r="E10" s="4"/>
      <c r="F10" s="4">
        <v>25</v>
      </c>
      <c r="G10" s="4" t="s">
        <v>419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420</v>
      </c>
      <c r="B11" s="4">
        <v>2</v>
      </c>
      <c r="C11" s="4" t="s">
        <v>27</v>
      </c>
      <c r="D11" s="4"/>
      <c r="E11" s="4"/>
      <c r="F11" s="4">
        <v>15</v>
      </c>
      <c r="G11" s="4" t="s">
        <v>421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422</v>
      </c>
      <c r="B12" s="4">
        <v>1</v>
      </c>
      <c r="C12" s="4" t="s">
        <v>27</v>
      </c>
      <c r="D12" s="4"/>
      <c r="E12" s="4"/>
      <c r="F12" s="4">
        <v>19</v>
      </c>
      <c r="G12" s="4" t="s">
        <v>423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424</v>
      </c>
      <c r="B13" s="4">
        <v>1</v>
      </c>
      <c r="C13" s="4" t="s">
        <v>27</v>
      </c>
      <c r="D13" s="4"/>
      <c r="E13" s="4"/>
      <c r="F13" s="4">
        <v>20</v>
      </c>
      <c r="G13" s="4" t="s">
        <v>425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426</v>
      </c>
      <c r="B14" s="4">
        <v>3</v>
      </c>
      <c r="C14" s="4" t="s">
        <v>27</v>
      </c>
      <c r="D14" s="4"/>
      <c r="E14" s="4"/>
      <c r="F14" s="4">
        <v>24</v>
      </c>
      <c r="G14" s="4" t="s">
        <v>427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428</v>
      </c>
      <c r="B15" s="4">
        <v>1</v>
      </c>
      <c r="C15" s="4" t="s">
        <v>27</v>
      </c>
      <c r="D15" s="4"/>
      <c r="E15" s="4"/>
      <c r="F15" s="4">
        <v>25</v>
      </c>
      <c r="G15" s="4" t="s">
        <v>429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430</v>
      </c>
      <c r="B16" s="4">
        <v>1</v>
      </c>
      <c r="C16" s="4" t="s">
        <v>27</v>
      </c>
      <c r="D16" s="4"/>
      <c r="E16" s="4"/>
      <c r="F16" s="4">
        <v>25</v>
      </c>
      <c r="G16" s="4" t="s">
        <v>431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432</v>
      </c>
      <c r="B17" s="4">
        <v>3</v>
      </c>
      <c r="C17" s="4" t="s">
        <v>27</v>
      </c>
      <c r="D17" s="4"/>
      <c r="E17" s="4"/>
      <c r="F17" s="4">
        <v>22</v>
      </c>
      <c r="G17" s="4" t="s">
        <v>433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434</v>
      </c>
      <c r="B18" s="4">
        <v>1</v>
      </c>
      <c r="C18" s="4" t="s">
        <v>27</v>
      </c>
      <c r="D18" s="4"/>
      <c r="E18" s="4"/>
      <c r="F18" s="4">
        <v>49.5</v>
      </c>
      <c r="G18" s="4" t="s">
        <v>435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436</v>
      </c>
      <c r="B19" s="4">
        <v>1</v>
      </c>
      <c r="C19" s="4" t="s">
        <v>27</v>
      </c>
      <c r="D19" s="4"/>
      <c r="E19" s="4"/>
      <c r="F19" s="4">
        <v>25</v>
      </c>
      <c r="G19" s="4" t="s">
        <v>437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438</v>
      </c>
      <c r="B20" s="4">
        <v>1</v>
      </c>
      <c r="C20" s="4" t="s">
        <v>27</v>
      </c>
      <c r="D20" s="4"/>
      <c r="E20" s="4"/>
      <c r="F20" s="4">
        <v>29</v>
      </c>
      <c r="G20" s="4" t="s">
        <v>439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440</v>
      </c>
      <c r="B21" s="4">
        <v>1</v>
      </c>
      <c r="C21" s="4" t="s">
        <v>27</v>
      </c>
      <c r="D21" s="4"/>
      <c r="E21" s="4"/>
      <c r="F21" s="4">
        <v>30</v>
      </c>
      <c r="G21" s="4" t="s">
        <v>441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442</v>
      </c>
      <c r="B22" s="4">
        <v>1</v>
      </c>
      <c r="C22" s="4" t="s">
        <v>27</v>
      </c>
      <c r="D22" s="4"/>
      <c r="E22" s="4"/>
      <c r="F22" s="4">
        <v>29.1</v>
      </c>
      <c r="G22" s="4" t="s">
        <v>443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444</v>
      </c>
      <c r="B23" s="4">
        <v>1</v>
      </c>
      <c r="C23" s="4" t="s">
        <v>27</v>
      </c>
      <c r="D23" s="4"/>
      <c r="E23" s="4"/>
      <c r="F23" s="4">
        <v>22</v>
      </c>
      <c r="G23" s="4" t="s">
        <v>445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446</v>
      </c>
      <c r="B24" s="4">
        <v>1</v>
      </c>
      <c r="C24" s="4" t="s">
        <v>27</v>
      </c>
      <c r="D24" s="4"/>
      <c r="E24" s="4"/>
      <c r="F24" s="4">
        <v>29.9</v>
      </c>
      <c r="G24" s="4" t="s">
        <v>447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448</v>
      </c>
      <c r="B25" s="4">
        <v>1</v>
      </c>
      <c r="C25" s="4" t="s">
        <v>27</v>
      </c>
      <c r="D25" s="4"/>
      <c r="E25" s="4"/>
      <c r="F25" s="4">
        <v>29.9</v>
      </c>
      <c r="G25" s="4" t="s">
        <v>449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450</v>
      </c>
      <c r="B26" s="4">
        <v>1</v>
      </c>
      <c r="C26" s="4" t="s">
        <v>27</v>
      </c>
      <c r="D26" s="4"/>
      <c r="E26" s="4"/>
      <c r="F26" s="4">
        <v>19.5</v>
      </c>
      <c r="G26" s="4" t="s">
        <v>451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452</v>
      </c>
      <c r="B27" s="4">
        <v>1</v>
      </c>
      <c r="C27" s="4" t="s">
        <v>27</v>
      </c>
      <c r="D27" s="4"/>
      <c r="E27" s="4"/>
      <c r="F27" s="4">
        <v>14</v>
      </c>
      <c r="G27" s="4" t="s">
        <v>453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454</v>
      </c>
      <c r="B28" s="4">
        <v>1</v>
      </c>
      <c r="C28" s="4" t="s">
        <v>27</v>
      </c>
      <c r="D28" s="4"/>
      <c r="E28" s="4"/>
      <c r="F28" s="4">
        <v>13</v>
      </c>
      <c r="G28" s="4" t="s">
        <v>455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456</v>
      </c>
      <c r="B29" s="4">
        <v>1</v>
      </c>
      <c r="C29" s="4" t="s">
        <v>27</v>
      </c>
      <c r="D29" s="4"/>
      <c r="E29" s="4"/>
      <c r="F29" s="4">
        <v>27.5</v>
      </c>
      <c r="G29" s="4" t="s">
        <v>457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458</v>
      </c>
      <c r="B30" s="4">
        <v>10</v>
      </c>
      <c r="C30" s="4" t="s">
        <v>27</v>
      </c>
      <c r="D30" s="4"/>
      <c r="E30" s="4"/>
      <c r="F30" s="4">
        <v>5</v>
      </c>
      <c r="G30" s="4" t="s">
        <v>459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460</v>
      </c>
      <c r="B31" s="4">
        <v>111</v>
      </c>
      <c r="C31" s="4" t="s">
        <v>27</v>
      </c>
      <c r="D31" s="4"/>
      <c r="E31" s="4"/>
      <c r="F31" s="4">
        <v>4.7</v>
      </c>
      <c r="G31" s="4" t="s">
        <v>461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462</v>
      </c>
      <c r="B32" s="4">
        <v>35</v>
      </c>
      <c r="C32" s="4" t="s">
        <v>27</v>
      </c>
      <c r="D32" s="4"/>
      <c r="E32" s="4"/>
      <c r="F32" s="4">
        <v>7.5</v>
      </c>
      <c r="G32" s="4" t="s">
        <v>463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464</v>
      </c>
      <c r="B33" s="4">
        <v>50</v>
      </c>
      <c r="C33" s="4" t="s">
        <v>27</v>
      </c>
      <c r="D33" s="4"/>
      <c r="E33" s="4"/>
      <c r="F33" s="4">
        <v>10.5</v>
      </c>
      <c r="G33" s="4" t="s">
        <v>465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466</v>
      </c>
      <c r="B34" s="4">
        <v>23</v>
      </c>
      <c r="C34" s="4" t="s">
        <v>27</v>
      </c>
      <c r="D34" s="4"/>
      <c r="E34" s="4"/>
      <c r="F34" s="4">
        <v>21</v>
      </c>
      <c r="G34" s="4" t="s">
        <v>349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467</v>
      </c>
      <c r="B35" s="4">
        <v>1</v>
      </c>
      <c r="C35" s="4" t="s">
        <v>27</v>
      </c>
      <c r="D35" s="4"/>
      <c r="E35" s="4"/>
      <c r="F35" s="4">
        <v>76</v>
      </c>
      <c r="G35" s="4" t="s">
        <v>468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469</v>
      </c>
      <c r="B36" s="4">
        <v>1</v>
      </c>
      <c r="C36" s="4" t="s">
        <v>27</v>
      </c>
      <c r="D36" s="4"/>
      <c r="E36" s="4"/>
      <c r="F36" s="4">
        <v>12</v>
      </c>
      <c r="G36" s="4" t="s">
        <v>470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471</v>
      </c>
      <c r="B37" s="4">
        <v>1</v>
      </c>
      <c r="C37" s="4" t="s">
        <v>27</v>
      </c>
      <c r="D37" s="4"/>
      <c r="E37" s="4"/>
      <c r="F37" s="4">
        <v>10</v>
      </c>
      <c r="G37" s="4" t="s">
        <v>472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473</v>
      </c>
      <c r="B38" s="4">
        <v>1</v>
      </c>
      <c r="C38" s="4" t="s">
        <v>27</v>
      </c>
      <c r="D38" s="4"/>
      <c r="E38" s="4"/>
      <c r="F38" s="4">
        <v>50</v>
      </c>
      <c r="G38" s="4" t="s">
        <v>474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475</v>
      </c>
      <c r="B39" s="4">
        <v>1</v>
      </c>
      <c r="C39" s="4" t="s">
        <v>27</v>
      </c>
      <c r="D39" s="4"/>
      <c r="E39" s="4"/>
      <c r="F39" s="4">
        <v>67</v>
      </c>
      <c r="G39" s="4" t="s">
        <v>476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477</v>
      </c>
      <c r="B40" s="4">
        <v>1</v>
      </c>
      <c r="C40" s="4" t="s">
        <v>27</v>
      </c>
      <c r="D40" s="4"/>
      <c r="E40" s="4"/>
      <c r="F40" s="4">
        <v>12</v>
      </c>
      <c r="G40" s="4" t="s">
        <v>478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479</v>
      </c>
      <c r="B41" s="4">
        <v>1</v>
      </c>
      <c r="C41" s="4" t="s">
        <v>27</v>
      </c>
      <c r="D41" s="4"/>
      <c r="E41" s="4"/>
      <c r="F41" s="4">
        <v>13</v>
      </c>
      <c r="G41" s="4" t="s">
        <v>480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481</v>
      </c>
      <c r="B42" s="4">
        <v>1</v>
      </c>
      <c r="C42" s="4" t="s">
        <v>27</v>
      </c>
      <c r="D42" s="4"/>
      <c r="E42" s="4"/>
      <c r="F42" s="4">
        <v>100</v>
      </c>
      <c r="G42" s="4" t="s">
        <v>482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483</v>
      </c>
      <c r="B43" s="4">
        <v>1</v>
      </c>
      <c r="C43" s="4" t="s">
        <v>27</v>
      </c>
      <c r="D43" s="4"/>
      <c r="E43" s="4"/>
      <c r="F43" s="4">
        <v>18</v>
      </c>
      <c r="G43" s="4" t="s">
        <v>484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485</v>
      </c>
      <c r="B44" s="4">
        <v>1</v>
      </c>
      <c r="C44" s="4" t="s">
        <v>27</v>
      </c>
      <c r="D44" s="4"/>
      <c r="E44" s="4"/>
      <c r="F44" s="4">
        <v>67.5</v>
      </c>
      <c r="G44" s="4" t="s">
        <v>486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487</v>
      </c>
      <c r="B45" s="4">
        <v>1</v>
      </c>
      <c r="C45" s="4" t="s">
        <v>27</v>
      </c>
      <c r="D45" s="4"/>
      <c r="E45" s="4"/>
      <c r="F45" s="4">
        <v>12</v>
      </c>
      <c r="G45" s="4" t="s">
        <v>488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489</v>
      </c>
      <c r="B46" s="4">
        <v>1</v>
      </c>
      <c r="C46" s="4" t="s">
        <v>27</v>
      </c>
      <c r="D46" s="4"/>
      <c r="E46" s="4"/>
      <c r="F46" s="4">
        <v>35</v>
      </c>
      <c r="G46" s="4" t="s">
        <v>490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491</v>
      </c>
      <c r="B47" s="4">
        <v>1</v>
      </c>
      <c r="C47" s="4" t="s">
        <v>27</v>
      </c>
      <c r="D47" s="4"/>
      <c r="E47" s="4"/>
      <c r="F47" s="4">
        <v>34.5</v>
      </c>
      <c r="G47" s="4" t="s">
        <v>492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493</v>
      </c>
      <c r="B48" s="4">
        <v>3</v>
      </c>
      <c r="C48" s="4" t="s">
        <v>27</v>
      </c>
      <c r="D48" s="4"/>
      <c r="E48" s="4"/>
      <c r="F48" s="4">
        <v>35</v>
      </c>
      <c r="G48" s="4" t="s">
        <v>494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495</v>
      </c>
      <c r="B49" s="4">
        <v>1</v>
      </c>
      <c r="C49" s="4" t="s">
        <v>27</v>
      </c>
      <c r="D49" s="4"/>
      <c r="E49" s="4"/>
      <c r="F49" s="4">
        <v>14</v>
      </c>
      <c r="G49" s="4" t="s">
        <v>496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497</v>
      </c>
      <c r="B50" s="4">
        <v>1</v>
      </c>
      <c r="C50" s="4" t="s">
        <v>27</v>
      </c>
      <c r="D50" s="4"/>
      <c r="E50" s="4"/>
      <c r="F50" s="4">
        <v>16</v>
      </c>
      <c r="G50" s="4" t="s">
        <v>498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499</v>
      </c>
      <c r="B51" s="4">
        <v>1</v>
      </c>
      <c r="C51" s="4" t="s">
        <v>27</v>
      </c>
      <c r="D51" s="4"/>
      <c r="E51" s="4"/>
      <c r="F51" s="4">
        <v>29.5</v>
      </c>
      <c r="G51" s="4" t="s">
        <v>500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501</v>
      </c>
      <c r="B52" s="4">
        <v>1</v>
      </c>
      <c r="C52" s="4" t="s">
        <v>27</v>
      </c>
      <c r="D52" s="4"/>
      <c r="E52" s="4"/>
      <c r="F52" s="4">
        <v>218</v>
      </c>
      <c r="G52" s="4" t="s">
        <v>502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503</v>
      </c>
      <c r="B53" s="4">
        <v>1</v>
      </c>
      <c r="C53" s="4" t="s">
        <v>27</v>
      </c>
      <c r="D53" s="4"/>
      <c r="E53" s="4"/>
      <c r="F53" s="4">
        <v>28</v>
      </c>
      <c r="G53" s="4" t="s">
        <v>504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505</v>
      </c>
      <c r="B54" s="4">
        <v>1</v>
      </c>
      <c r="C54" s="4" t="s">
        <v>27</v>
      </c>
      <c r="D54" s="4"/>
      <c r="E54" s="4"/>
      <c r="F54" s="4">
        <v>36</v>
      </c>
      <c r="G54" s="4" t="s">
        <v>506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507</v>
      </c>
      <c r="B55" s="4">
        <v>1</v>
      </c>
      <c r="C55" s="4" t="s">
        <v>27</v>
      </c>
      <c r="D55" s="4"/>
      <c r="E55" s="4"/>
      <c r="F55" s="4">
        <v>180</v>
      </c>
      <c r="G55" s="4" t="s">
        <v>508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509</v>
      </c>
      <c r="B56" s="4">
        <v>1</v>
      </c>
      <c r="C56" s="4" t="s">
        <v>27</v>
      </c>
      <c r="D56" s="4"/>
      <c r="E56" s="4"/>
      <c r="F56" s="4">
        <v>17.5</v>
      </c>
      <c r="G56" s="4" t="s">
        <v>510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511</v>
      </c>
      <c r="B57" s="4">
        <v>3</v>
      </c>
      <c r="C57" s="4" t="s">
        <v>27</v>
      </c>
      <c r="D57" s="4"/>
      <c r="E57" s="4"/>
      <c r="F57" s="4">
        <v>15</v>
      </c>
      <c r="G57" s="4" t="s">
        <v>512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513</v>
      </c>
      <c r="B58" s="4">
        <v>3</v>
      </c>
      <c r="C58" s="4" t="s">
        <v>27</v>
      </c>
      <c r="D58" s="4"/>
      <c r="E58" s="4"/>
      <c r="F58" s="4">
        <v>18</v>
      </c>
      <c r="G58" s="4" t="s">
        <v>514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515</v>
      </c>
      <c r="B59" s="4">
        <v>1</v>
      </c>
      <c r="C59" s="4" t="s">
        <v>27</v>
      </c>
      <c r="D59" s="4"/>
      <c r="E59" s="4"/>
      <c r="F59" s="4">
        <v>34.9</v>
      </c>
      <c r="G59" s="4" t="s">
        <v>516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517</v>
      </c>
      <c r="B60" s="4">
        <v>1</v>
      </c>
      <c r="C60" s="4" t="s">
        <v>27</v>
      </c>
      <c r="D60" s="4"/>
      <c r="E60" s="4"/>
      <c r="F60" s="4">
        <v>29.9</v>
      </c>
      <c r="G60" s="4" t="s">
        <v>518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519</v>
      </c>
      <c r="B61" s="4">
        <v>2</v>
      </c>
      <c r="C61" s="4" t="s">
        <v>27</v>
      </c>
      <c r="D61" s="4"/>
      <c r="E61" s="4"/>
      <c r="F61" s="4">
        <v>25</v>
      </c>
      <c r="G61" s="4" t="s">
        <v>520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521</v>
      </c>
      <c r="B62" s="4">
        <v>2</v>
      </c>
      <c r="C62" s="4" t="s">
        <v>27</v>
      </c>
      <c r="D62" s="4"/>
      <c r="E62" s="4"/>
      <c r="F62" s="4">
        <v>273</v>
      </c>
      <c r="G62" s="4" t="s">
        <v>522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523</v>
      </c>
      <c r="B63" s="4">
        <v>7</v>
      </c>
      <c r="C63" s="4" t="s">
        <v>27</v>
      </c>
      <c r="D63" s="4"/>
      <c r="E63" s="4"/>
      <c r="F63" s="4">
        <v>29.7</v>
      </c>
      <c r="G63" s="4" t="s">
        <v>347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524</v>
      </c>
      <c r="B64" s="4">
        <v>3</v>
      </c>
      <c r="C64" s="4" t="s">
        <v>27</v>
      </c>
      <c r="D64" s="4"/>
      <c r="E64" s="4"/>
      <c r="F64" s="4">
        <v>13.5</v>
      </c>
      <c r="G64" s="4" t="s">
        <v>525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526</v>
      </c>
      <c r="B65" s="4">
        <v>1</v>
      </c>
      <c r="C65" s="4" t="s">
        <v>27</v>
      </c>
      <c r="D65" s="4"/>
      <c r="E65" s="4"/>
      <c r="F65" s="4">
        <v>30.1</v>
      </c>
      <c r="G65" s="4" t="s">
        <v>527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528</v>
      </c>
      <c r="B66" s="4">
        <v>1</v>
      </c>
      <c r="C66" s="4" t="s">
        <v>27</v>
      </c>
      <c r="D66" s="4"/>
      <c r="E66" s="4"/>
      <c r="F66" s="4">
        <v>29.6</v>
      </c>
      <c r="G66" s="4" t="s">
        <v>529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530</v>
      </c>
      <c r="B67" s="4">
        <v>1</v>
      </c>
      <c r="C67" s="4" t="s">
        <v>27</v>
      </c>
      <c r="D67" s="4"/>
      <c r="E67" s="4"/>
      <c r="F67" s="4">
        <v>19.5</v>
      </c>
      <c r="G67" s="4" t="s">
        <v>531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532</v>
      </c>
      <c r="B68" s="4">
        <v>1</v>
      </c>
      <c r="C68" s="4" t="s">
        <v>27</v>
      </c>
      <c r="D68" s="4"/>
      <c r="E68" s="4"/>
      <c r="F68" s="4">
        <v>40</v>
      </c>
      <c r="G68" s="4" t="s">
        <v>533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534</v>
      </c>
      <c r="B69" s="4">
        <v>1</v>
      </c>
      <c r="C69" s="4" t="s">
        <v>27</v>
      </c>
      <c r="D69" s="4"/>
      <c r="E69" s="4"/>
      <c r="F69" s="4">
        <v>100</v>
      </c>
      <c r="G69" s="4" t="s">
        <v>535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536</v>
      </c>
      <c r="B70" s="4">
        <v>1</v>
      </c>
      <c r="C70" s="4" t="s">
        <v>27</v>
      </c>
      <c r="D70" s="4"/>
      <c r="E70" s="4"/>
      <c r="F70" s="4">
        <v>45</v>
      </c>
      <c r="G70" s="4" t="s">
        <v>537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538</v>
      </c>
      <c r="B71" s="4">
        <v>1</v>
      </c>
      <c r="C71" s="4" t="s">
        <v>27</v>
      </c>
      <c r="D71" s="4"/>
      <c r="E71" s="4"/>
      <c r="F71" s="4">
        <v>250</v>
      </c>
      <c r="G71" s="4" t="s">
        <v>539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540</v>
      </c>
      <c r="B72" s="4">
        <v>1</v>
      </c>
      <c r="C72" s="4" t="s">
        <v>27</v>
      </c>
      <c r="D72" s="4"/>
      <c r="E72" s="4"/>
      <c r="F72" s="4">
        <v>19.5</v>
      </c>
      <c r="G72" s="4" t="s">
        <v>541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542</v>
      </c>
      <c r="B73" s="4">
        <v>1</v>
      </c>
      <c r="C73" s="4" t="s">
        <v>27</v>
      </c>
      <c r="D73" s="4"/>
      <c r="E73" s="4"/>
      <c r="F73" s="4">
        <v>40</v>
      </c>
      <c r="G73" s="4" t="s">
        <v>543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544</v>
      </c>
      <c r="B74" s="4">
        <v>1</v>
      </c>
      <c r="C74" s="4" t="s">
        <v>27</v>
      </c>
      <c r="D74" s="4"/>
      <c r="E74" s="4"/>
      <c r="F74" s="4">
        <v>57.5</v>
      </c>
      <c r="G74" s="4" t="s">
        <v>545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546</v>
      </c>
      <c r="B75" s="4">
        <v>0</v>
      </c>
      <c r="C75" s="4" t="s">
        <v>27</v>
      </c>
      <c r="D75" s="4"/>
      <c r="E75" s="4"/>
      <c r="F75" s="4">
        <v>37</v>
      </c>
      <c r="G75" s="4" t="s">
        <v>547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548</v>
      </c>
      <c r="B76" s="4">
        <v>1</v>
      </c>
      <c r="C76" s="4" t="s">
        <v>27</v>
      </c>
      <c r="D76" s="4"/>
      <c r="E76" s="4"/>
      <c r="F76" s="4">
        <v>23.5</v>
      </c>
      <c r="G76" s="4" t="s">
        <v>549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550</v>
      </c>
      <c r="B77" s="4">
        <v>6</v>
      </c>
      <c r="C77" s="4" t="s">
        <v>27</v>
      </c>
      <c r="D77" s="4"/>
      <c r="E77" s="4"/>
      <c r="F77" s="4">
        <v>10</v>
      </c>
      <c r="G77" s="4" t="s">
        <v>551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552</v>
      </c>
      <c r="B78" s="4">
        <v>4</v>
      </c>
      <c r="C78" s="4" t="s">
        <v>27</v>
      </c>
      <c r="D78" s="4"/>
      <c r="E78" s="4"/>
      <c r="F78" s="4">
        <v>43</v>
      </c>
      <c r="G78" s="4" t="s">
        <v>553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554</v>
      </c>
      <c r="B79" s="4">
        <v>1</v>
      </c>
      <c r="C79" s="4" t="s">
        <v>27</v>
      </c>
      <c r="D79" s="4"/>
      <c r="E79" s="4"/>
      <c r="F79" s="4">
        <v>15</v>
      </c>
      <c r="G79" s="4" t="s">
        <v>555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556</v>
      </c>
      <c r="B80" s="4">
        <v>3</v>
      </c>
      <c r="C80" s="4" t="s">
        <v>27</v>
      </c>
      <c r="D80" s="4"/>
      <c r="E80" s="4"/>
      <c r="F80" s="4">
        <v>20</v>
      </c>
      <c r="G80" s="4" t="s">
        <v>557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558</v>
      </c>
      <c r="B81" s="4">
        <v>1</v>
      </c>
      <c r="C81" s="4" t="s">
        <v>27</v>
      </c>
      <c r="D81" s="4"/>
      <c r="E81" s="4"/>
      <c r="F81" s="4">
        <v>52.5</v>
      </c>
      <c r="G81" s="4" t="s">
        <v>559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560</v>
      </c>
      <c r="B82" s="4">
        <v>1</v>
      </c>
      <c r="C82" s="4" t="s">
        <v>27</v>
      </c>
      <c r="D82" s="4"/>
      <c r="E82" s="4"/>
      <c r="F82" s="4">
        <v>22.5</v>
      </c>
      <c r="G82" s="4" t="s">
        <v>561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562</v>
      </c>
      <c r="B83" s="4">
        <v>1</v>
      </c>
      <c r="C83" s="4" t="s">
        <v>27</v>
      </c>
      <c r="D83" s="4"/>
      <c r="E83" s="4"/>
      <c r="F83" s="4">
        <v>35.5</v>
      </c>
      <c r="G83" s="4" t="s">
        <v>563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564</v>
      </c>
      <c r="B84" s="4">
        <v>1</v>
      </c>
      <c r="C84" s="4" t="s">
        <v>27</v>
      </c>
      <c r="D84" s="4"/>
      <c r="E84" s="4"/>
      <c r="F84" s="4">
        <v>35.5</v>
      </c>
      <c r="G84" s="4" t="s">
        <v>565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566</v>
      </c>
      <c r="B85" s="4">
        <v>1</v>
      </c>
      <c r="C85" s="4" t="s">
        <v>27</v>
      </c>
      <c r="D85" s="4"/>
      <c r="E85" s="4"/>
      <c r="F85" s="4">
        <v>18</v>
      </c>
      <c r="G85" s="4" t="s">
        <v>567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568</v>
      </c>
      <c r="B86" s="4">
        <v>2</v>
      </c>
      <c r="C86" s="4" t="s">
        <v>27</v>
      </c>
      <c r="D86" s="4"/>
      <c r="E86" s="4"/>
      <c r="F86" s="4">
        <v>21</v>
      </c>
      <c r="G86" s="4" t="s">
        <v>569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570</v>
      </c>
      <c r="B87" s="4">
        <v>1</v>
      </c>
      <c r="C87" s="4"/>
      <c r="D87" s="4">
        <v>0</v>
      </c>
      <c r="E87" s="4" t="s">
        <v>103</v>
      </c>
      <c r="F87" s="4">
        <v>0</v>
      </c>
      <c r="G87" s="4" t="s">
        <v>571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572</v>
      </c>
      <c r="B88" s="4">
        <v>1</v>
      </c>
      <c r="C88" s="4"/>
      <c r="D88" s="4">
        <v>0</v>
      </c>
      <c r="E88" s="4" t="s">
        <v>103</v>
      </c>
      <c r="F88" s="4">
        <v>0</v>
      </c>
      <c r="G88" s="4" t="s">
        <v>573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574</v>
      </c>
      <c r="B89" s="4">
        <v>1</v>
      </c>
      <c r="C89" s="4"/>
      <c r="D89" s="4">
        <v>0</v>
      </c>
      <c r="E89" s="4" t="s">
        <v>103</v>
      </c>
      <c r="F89" s="4">
        <v>0</v>
      </c>
      <c r="G89" s="4" t="s">
        <v>575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576</v>
      </c>
      <c r="B90" s="4">
        <v>1</v>
      </c>
      <c r="C90" s="4"/>
      <c r="D90" s="4">
        <v>0</v>
      </c>
      <c r="E90" s="4" t="s">
        <v>103</v>
      </c>
      <c r="F90" s="4">
        <v>0</v>
      </c>
      <c r="G90" s="4" t="s">
        <v>577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578</v>
      </c>
      <c r="B91" s="4">
        <v>4</v>
      </c>
      <c r="C91" s="4"/>
      <c r="D91" s="4">
        <v>0</v>
      </c>
      <c r="E91" s="4" t="s">
        <v>103</v>
      </c>
      <c r="F91" s="4">
        <v>0</v>
      </c>
      <c r="G91" s="4" t="s">
        <v>579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580</v>
      </c>
      <c r="B92" s="4">
        <v>1</v>
      </c>
      <c r="C92" s="4"/>
      <c r="D92" s="4">
        <v>0</v>
      </c>
      <c r="E92" s="4" t="s">
        <v>103</v>
      </c>
      <c r="F92" s="4">
        <v>0</v>
      </c>
      <c r="G92" s="4" t="s">
        <v>581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582</v>
      </c>
      <c r="B93" s="4">
        <v>1</v>
      </c>
      <c r="C93" s="4"/>
      <c r="D93" s="4">
        <v>0</v>
      </c>
      <c r="E93" s="4" t="s">
        <v>103</v>
      </c>
      <c r="F93" s="4">
        <v>0</v>
      </c>
      <c r="G93" s="4" t="s">
        <v>583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584</v>
      </c>
      <c r="B94" s="4">
        <v>2</v>
      </c>
      <c r="C94" s="4"/>
      <c r="D94" s="4">
        <v>0</v>
      </c>
      <c r="E94" s="4" t="s">
        <v>103</v>
      </c>
      <c r="F94" s="4">
        <v>0</v>
      </c>
      <c r="G94" s="4" t="s">
        <v>585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586</v>
      </c>
      <c r="B95" s="4">
        <v>1</v>
      </c>
      <c r="C95" s="4"/>
      <c r="D95" s="4">
        <v>0</v>
      </c>
      <c r="E95" s="4" t="s">
        <v>103</v>
      </c>
      <c r="F95" s="4">
        <v>0</v>
      </c>
      <c r="G95" s="4" t="s">
        <v>587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588</v>
      </c>
      <c r="B96" s="4">
        <v>1</v>
      </c>
      <c r="C96" s="4"/>
      <c r="D96" s="4">
        <v>0</v>
      </c>
      <c r="E96" s="4" t="s">
        <v>103</v>
      </c>
      <c r="F96" s="4">
        <v>0</v>
      </c>
      <c r="G96" s="4" t="s">
        <v>589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590</v>
      </c>
      <c r="B97" s="4">
        <v>1</v>
      </c>
      <c r="C97" s="4"/>
      <c r="D97" s="4">
        <v>0</v>
      </c>
      <c r="E97" s="4" t="s">
        <v>103</v>
      </c>
      <c r="F97" s="4">
        <v>0</v>
      </c>
      <c r="G97" s="4" t="s">
        <v>591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592</v>
      </c>
      <c r="B98" s="4">
        <v>1</v>
      </c>
      <c r="C98" s="4"/>
      <c r="D98" s="4">
        <v>0</v>
      </c>
      <c r="E98" s="4" t="s">
        <v>103</v>
      </c>
      <c r="F98" s="4">
        <v>0</v>
      </c>
      <c r="G98" s="4" t="s">
        <v>593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594</v>
      </c>
      <c r="B99" s="4">
        <v>1</v>
      </c>
      <c r="C99" s="4"/>
      <c r="D99" s="4">
        <v>0</v>
      </c>
      <c r="E99" s="4" t="s">
        <v>103</v>
      </c>
      <c r="F99" s="4">
        <v>0</v>
      </c>
      <c r="G99" s="4" t="s">
        <v>595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596</v>
      </c>
      <c r="B100" s="4">
        <v>1</v>
      </c>
      <c r="C100" s="4"/>
      <c r="D100" s="4">
        <v>0</v>
      </c>
      <c r="E100" s="4" t="s">
        <v>103</v>
      </c>
      <c r="F100" s="4">
        <v>0</v>
      </c>
      <c r="G100" s="4" t="s">
        <v>597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598</v>
      </c>
      <c r="B101" s="4">
        <v>1</v>
      </c>
      <c r="C101" s="4"/>
      <c r="D101" s="4">
        <v>0</v>
      </c>
      <c r="E101" s="4" t="s">
        <v>103</v>
      </c>
      <c r="F101" s="4">
        <v>0</v>
      </c>
      <c r="G101" s="4" t="s">
        <v>599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600</v>
      </c>
      <c r="B102" s="4">
        <v>1</v>
      </c>
      <c r="C102" s="4"/>
      <c r="D102" s="4">
        <v>0</v>
      </c>
      <c r="E102" s="4" t="s">
        <v>103</v>
      </c>
      <c r="F102" s="4">
        <v>0</v>
      </c>
      <c r="G102" s="4" t="s">
        <v>601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602</v>
      </c>
      <c r="B103" s="4">
        <v>1</v>
      </c>
      <c r="C103" s="4"/>
      <c r="D103" s="4">
        <v>0</v>
      </c>
      <c r="E103" s="4" t="s">
        <v>103</v>
      </c>
      <c r="F103" s="4">
        <v>0</v>
      </c>
      <c r="G103" s="4" t="s">
        <v>603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604</v>
      </c>
      <c r="B104" s="4">
        <v>1</v>
      </c>
      <c r="C104" s="4"/>
      <c r="D104" s="4">
        <v>0</v>
      </c>
      <c r="E104" s="4" t="s">
        <v>103</v>
      </c>
      <c r="F104" s="4">
        <v>0</v>
      </c>
      <c r="G104" s="4" t="s">
        <v>605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606</v>
      </c>
      <c r="B105" s="4">
        <v>1</v>
      </c>
      <c r="C105" s="4"/>
      <c r="D105" s="4">
        <v>0</v>
      </c>
      <c r="E105" s="4" t="s">
        <v>103</v>
      </c>
      <c r="F105" s="4">
        <v>0</v>
      </c>
      <c r="G105" s="4" t="s">
        <v>607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608</v>
      </c>
      <c r="B106" s="4">
        <v>6</v>
      </c>
      <c r="C106" s="4"/>
      <c r="D106" s="4">
        <v>0</v>
      </c>
      <c r="E106" s="4" t="s">
        <v>103</v>
      </c>
      <c r="F106" s="4">
        <v>0</v>
      </c>
      <c r="G106" s="4" t="s">
        <v>609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610</v>
      </c>
      <c r="B107" s="4">
        <v>1</v>
      </c>
      <c r="C107" s="4"/>
      <c r="D107" s="4">
        <v>0</v>
      </c>
      <c r="E107" s="4" t="s">
        <v>103</v>
      </c>
      <c r="F107" s="4">
        <v>0</v>
      </c>
      <c r="G107" s="4" t="s">
        <v>611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612</v>
      </c>
      <c r="B108" s="4">
        <v>1</v>
      </c>
      <c r="C108" s="4"/>
      <c r="D108" s="4">
        <v>0</v>
      </c>
      <c r="E108" s="4" t="s">
        <v>103</v>
      </c>
      <c r="F108" s="4">
        <v>0</v>
      </c>
      <c r="G108" s="4" t="s">
        <v>613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614</v>
      </c>
      <c r="B109" s="4">
        <v>1</v>
      </c>
      <c r="C109" s="4"/>
      <c r="D109" s="4">
        <v>0</v>
      </c>
      <c r="E109" s="4" t="s">
        <v>103</v>
      </c>
      <c r="F109" s="4">
        <v>0</v>
      </c>
      <c r="G109" s="4" t="s">
        <v>615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616</v>
      </c>
      <c r="B110" s="4">
        <v>1</v>
      </c>
      <c r="C110" s="4"/>
      <c r="D110" s="4">
        <v>0</v>
      </c>
      <c r="E110" s="4" t="s">
        <v>103</v>
      </c>
      <c r="F110" s="4">
        <v>0</v>
      </c>
      <c r="G110" s="4" t="s">
        <v>617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618</v>
      </c>
      <c r="B111" s="4">
        <v>1</v>
      </c>
      <c r="C111" s="4"/>
      <c r="D111" s="4">
        <v>0</v>
      </c>
      <c r="E111" s="4" t="s">
        <v>103</v>
      </c>
      <c r="F111" s="4">
        <v>0</v>
      </c>
      <c r="G111" s="4" t="s">
        <v>619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620</v>
      </c>
      <c r="B112" s="4">
        <v>1</v>
      </c>
      <c r="C112" s="4"/>
      <c r="D112" s="4">
        <v>0</v>
      </c>
      <c r="E112" s="4" t="s">
        <v>103</v>
      </c>
      <c r="F112" s="4">
        <v>0</v>
      </c>
      <c r="G112" s="4" t="s">
        <v>621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622</v>
      </c>
      <c r="B113" s="4">
        <v>1</v>
      </c>
      <c r="C113" s="4"/>
      <c r="D113" s="4">
        <v>0</v>
      </c>
      <c r="E113" s="4" t="s">
        <v>103</v>
      </c>
      <c r="F113" s="4">
        <v>0</v>
      </c>
      <c r="G113" s="4" t="s">
        <v>623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624</v>
      </c>
      <c r="B114" s="4">
        <v>1</v>
      </c>
      <c r="C114" s="4"/>
      <c r="D114" s="4">
        <v>0</v>
      </c>
      <c r="E114" s="4" t="s">
        <v>103</v>
      </c>
      <c r="F114" s="4">
        <v>0</v>
      </c>
      <c r="G114" s="4" t="s">
        <v>625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626</v>
      </c>
      <c r="B115" s="4">
        <v>1</v>
      </c>
      <c r="C115" s="4"/>
      <c r="D115" s="4">
        <v>0</v>
      </c>
      <c r="E115" s="4" t="s">
        <v>103</v>
      </c>
      <c r="F115" s="4">
        <v>0</v>
      </c>
      <c r="G115" s="4" t="s">
        <v>627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628</v>
      </c>
      <c r="B116" s="4">
        <v>2</v>
      </c>
      <c r="C116" s="4"/>
      <c r="D116" s="4">
        <v>0</v>
      </c>
      <c r="E116" s="4" t="s">
        <v>103</v>
      </c>
      <c r="F116" s="4">
        <v>0</v>
      </c>
      <c r="G116" s="4" t="s">
        <v>629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103</v>
      </c>
      <c r="N116" s="4">
        <v>0</v>
      </c>
      <c r="O116" s="3">
        <f>=0</f>
      </c>
    </row>
    <row r="117" spans="1:15" x14ac:dyDescent="0.25">
      <c r="A117" s="2" t="s">
        <v>630</v>
      </c>
      <c r="B117" s="4">
        <v>6</v>
      </c>
      <c r="C117" s="4"/>
      <c r="D117" s="4">
        <v>0</v>
      </c>
      <c r="E117" s="4" t="s">
        <v>103</v>
      </c>
      <c r="F117" s="4">
        <v>0</v>
      </c>
      <c r="G117" s="4" t="s">
        <v>631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103</v>
      </c>
      <c r="N117" s="4">
        <v>0</v>
      </c>
      <c r="O117" s="3">
        <f>=0</f>
      </c>
    </row>
    <row r="118" spans="1:15" x14ac:dyDescent="0.25">
      <c r="A118" s="2" t="s">
        <v>632</v>
      </c>
      <c r="B118" s="4">
        <v>1</v>
      </c>
      <c r="C118" s="4"/>
      <c r="D118" s="4">
        <v>0</v>
      </c>
      <c r="E118" s="4" t="s">
        <v>103</v>
      </c>
      <c r="F118" s="4">
        <v>0</v>
      </c>
      <c r="G118" s="4" t="s">
        <v>633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103</v>
      </c>
      <c r="N118" s="4">
        <v>0</v>
      </c>
      <c r="O118" s="3">
        <f>=0</f>
      </c>
    </row>
    <row r="119" spans="1:15" x14ac:dyDescent="0.25">
      <c r="A119" s="2" t="s">
        <v>634</v>
      </c>
      <c r="B119" s="4">
        <v>4</v>
      </c>
      <c r="C119" s="4"/>
      <c r="D119" s="4">
        <v>0</v>
      </c>
      <c r="E119" s="4" t="s">
        <v>103</v>
      </c>
      <c r="F119" s="4">
        <v>0</v>
      </c>
      <c r="G119" s="4" t="s">
        <v>635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103</v>
      </c>
      <c r="N119" s="4">
        <v>0</v>
      </c>
      <c r="O119" s="3">
        <f>=0</f>
      </c>
    </row>
    <row r="120" spans="1:15" x14ac:dyDescent="0.25">
      <c r="A120" s="2" t="s">
        <v>636</v>
      </c>
      <c r="B120" s="4">
        <v>1</v>
      </c>
      <c r="C120" s="4"/>
      <c r="D120" s="4">
        <v>0</v>
      </c>
      <c r="E120" s="4" t="s">
        <v>103</v>
      </c>
      <c r="F120" s="4">
        <v>0</v>
      </c>
      <c r="G120" s="4" t="s">
        <v>637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638</v>
      </c>
      <c r="B121" s="4">
        <v>3</v>
      </c>
      <c r="C121" s="4"/>
      <c r="D121" s="4">
        <v>0</v>
      </c>
      <c r="E121" s="4" t="s">
        <v>103</v>
      </c>
      <c r="F121" s="4">
        <v>0</v>
      </c>
      <c r="G121" s="4" t="s">
        <v>639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103</v>
      </c>
      <c r="N121" s="4">
        <v>0</v>
      </c>
      <c r="O121" s="3">
        <f>=0</f>
      </c>
    </row>
    <row r="122" spans="1:15" x14ac:dyDescent="0.25">
      <c r="A122" s="2" t="s">
        <v>640</v>
      </c>
      <c r="B122" s="4">
        <v>1</v>
      </c>
      <c r="C122" s="4"/>
      <c r="D122" s="4">
        <v>0</v>
      </c>
      <c r="E122" s="4" t="s">
        <v>103</v>
      </c>
      <c r="F122" s="4">
        <v>0</v>
      </c>
      <c r="G122" s="4" t="s">
        <v>641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103</v>
      </c>
      <c r="N122" s="4">
        <v>0</v>
      </c>
      <c r="O122" s="3">
        <f>=0</f>
      </c>
    </row>
    <row r="123" spans="1:15" x14ac:dyDescent="0.25">
      <c r="A123" s="2" t="s">
        <v>642</v>
      </c>
      <c r="B123" s="4">
        <v>1</v>
      </c>
      <c r="C123" s="4"/>
      <c r="D123" s="4">
        <v>0</v>
      </c>
      <c r="E123" s="4" t="s">
        <v>103</v>
      </c>
      <c r="F123" s="4">
        <v>0</v>
      </c>
      <c r="G123" s="4" t="s">
        <v>643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644</v>
      </c>
      <c r="B124" s="4">
        <v>1</v>
      </c>
      <c r="C124" s="4"/>
      <c r="D124" s="4">
        <v>0</v>
      </c>
      <c r="E124" s="4" t="s">
        <v>103</v>
      </c>
      <c r="F124" s="4">
        <v>0</v>
      </c>
      <c r="G124" s="4" t="s">
        <v>645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646</v>
      </c>
      <c r="B125" s="4">
        <v>1</v>
      </c>
      <c r="C125" s="4"/>
      <c r="D125" s="4">
        <v>0</v>
      </c>
      <c r="E125" s="4" t="s">
        <v>103</v>
      </c>
      <c r="F125" s="4">
        <v>0</v>
      </c>
      <c r="G125" s="4" t="s">
        <v>647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648</v>
      </c>
      <c r="B126" s="4">
        <v>1</v>
      </c>
      <c r="C126" s="4"/>
      <c r="D126" s="4">
        <v>0</v>
      </c>
      <c r="E126" s="4" t="s">
        <v>103</v>
      </c>
      <c r="F126" s="4">
        <v>0</v>
      </c>
      <c r="G126" s="4" t="s">
        <v>649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650</v>
      </c>
      <c r="B127" s="4">
        <v>1</v>
      </c>
      <c r="C127" s="4"/>
      <c r="D127" s="4">
        <v>0</v>
      </c>
      <c r="E127" s="4" t="s">
        <v>103</v>
      </c>
      <c r="F127" s="4">
        <v>0</v>
      </c>
      <c r="G127" s="4" t="s">
        <v>651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652</v>
      </c>
      <c r="B128" s="4">
        <v>1</v>
      </c>
      <c r="C128" s="4"/>
      <c r="D128" s="4">
        <v>0</v>
      </c>
      <c r="E128" s="4" t="s">
        <v>103</v>
      </c>
      <c r="F128" s="4">
        <v>0</v>
      </c>
      <c r="G128" s="4" t="s">
        <v>653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654</v>
      </c>
      <c r="B129" s="4">
        <v>1</v>
      </c>
      <c r="C129" s="4"/>
      <c r="D129" s="4">
        <v>0</v>
      </c>
      <c r="E129" s="4" t="s">
        <v>103</v>
      </c>
      <c r="F129" s="4">
        <v>0</v>
      </c>
      <c r="G129" s="4" t="s">
        <v>655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656</v>
      </c>
      <c r="B130" s="4">
        <v>1</v>
      </c>
      <c r="C130" s="4"/>
      <c r="D130" s="4">
        <v>0</v>
      </c>
      <c r="E130" s="4" t="s">
        <v>103</v>
      </c>
      <c r="F130" s="4">
        <v>0</v>
      </c>
      <c r="G130" s="4" t="s">
        <v>657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658</v>
      </c>
      <c r="B131" s="4">
        <v>1</v>
      </c>
      <c r="C131" s="4"/>
      <c r="D131" s="4">
        <v>0</v>
      </c>
      <c r="E131" s="4" t="s">
        <v>103</v>
      </c>
      <c r="F131" s="4">
        <v>0</v>
      </c>
      <c r="G131" s="4" t="s">
        <v>659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660</v>
      </c>
      <c r="B132" s="4">
        <v>1</v>
      </c>
      <c r="C132" s="4"/>
      <c r="D132" s="4">
        <v>0</v>
      </c>
      <c r="E132" s="4" t="s">
        <v>103</v>
      </c>
      <c r="F132" s="4">
        <v>0</v>
      </c>
      <c r="G132" s="4" t="s">
        <v>661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662</v>
      </c>
      <c r="B133" s="4">
        <v>1</v>
      </c>
      <c r="C133" s="4"/>
      <c r="D133" s="4">
        <v>0</v>
      </c>
      <c r="E133" s="4" t="s">
        <v>103</v>
      </c>
      <c r="F133" s="4">
        <v>0</v>
      </c>
      <c r="G133" s="4" t="s">
        <v>663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664</v>
      </c>
      <c r="B134" s="4">
        <v>1</v>
      </c>
      <c r="C134" s="4"/>
      <c r="D134" s="4">
        <v>0</v>
      </c>
      <c r="E134" s="4" t="s">
        <v>103</v>
      </c>
      <c r="F134" s="4">
        <v>0</v>
      </c>
      <c r="G134" s="4" t="s">
        <v>665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666</v>
      </c>
      <c r="B135" s="4">
        <v>1</v>
      </c>
      <c r="C135" s="4"/>
      <c r="D135" s="4">
        <v>0</v>
      </c>
      <c r="E135" s="4" t="s">
        <v>103</v>
      </c>
      <c r="F135" s="4">
        <v>0</v>
      </c>
      <c r="G135" s="4" t="s">
        <v>667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668</v>
      </c>
      <c r="B136" s="4">
        <v>1</v>
      </c>
      <c r="C136" s="4"/>
      <c r="D136" s="4">
        <v>0</v>
      </c>
      <c r="E136" s="4" t="s">
        <v>103</v>
      </c>
      <c r="F136" s="4">
        <v>0</v>
      </c>
      <c r="G136" s="4" t="s">
        <v>669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670</v>
      </c>
      <c r="B137" s="4">
        <v>1</v>
      </c>
      <c r="C137" s="4"/>
      <c r="D137" s="4">
        <v>0</v>
      </c>
      <c r="E137" s="4" t="s">
        <v>103</v>
      </c>
      <c r="F137" s="4">
        <v>0</v>
      </c>
      <c r="G137" s="4" t="s">
        <v>671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672</v>
      </c>
      <c r="B138" s="4">
        <v>1</v>
      </c>
      <c r="C138" s="4"/>
      <c r="D138" s="4">
        <v>0</v>
      </c>
      <c r="E138" s="4" t="s">
        <v>103</v>
      </c>
      <c r="F138" s="4">
        <v>0</v>
      </c>
      <c r="G138" s="4" t="s">
        <v>673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674</v>
      </c>
      <c r="B139" s="4">
        <v>1</v>
      </c>
      <c r="C139" s="4"/>
      <c r="D139" s="4">
        <v>0</v>
      </c>
      <c r="E139" s="4" t="s">
        <v>103</v>
      </c>
      <c r="F139" s="4">
        <v>0</v>
      </c>
      <c r="G139" s="4" t="s">
        <v>675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676</v>
      </c>
      <c r="B140" s="4">
        <v>1</v>
      </c>
      <c r="C140" s="4"/>
      <c r="D140" s="4">
        <v>0</v>
      </c>
      <c r="E140" s="4" t="s">
        <v>103</v>
      </c>
      <c r="F140" s="4">
        <v>0</v>
      </c>
      <c r="G140" s="4" t="s">
        <v>677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678</v>
      </c>
      <c r="B141" s="4">
        <v>2</v>
      </c>
      <c r="C141" s="4"/>
      <c r="D141" s="4">
        <v>0</v>
      </c>
      <c r="E141" s="4" t="s">
        <v>103</v>
      </c>
      <c r="F141" s="4">
        <v>0</v>
      </c>
      <c r="G141" s="4" t="s">
        <v>679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680</v>
      </c>
      <c r="B142" s="4">
        <v>1</v>
      </c>
      <c r="C142" s="4"/>
      <c r="D142" s="4">
        <v>0</v>
      </c>
      <c r="E142" s="4" t="s">
        <v>103</v>
      </c>
      <c r="F142" s="4">
        <v>0</v>
      </c>
      <c r="G142" s="4" t="s">
        <v>681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682</v>
      </c>
      <c r="B143" s="4">
        <v>1</v>
      </c>
      <c r="C143" s="4"/>
      <c r="D143" s="4">
        <v>0</v>
      </c>
      <c r="E143" s="4" t="s">
        <v>103</v>
      </c>
      <c r="F143" s="4">
        <v>0</v>
      </c>
      <c r="G143" s="4" t="s">
        <v>683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684</v>
      </c>
      <c r="B144" s="4">
        <v>1</v>
      </c>
      <c r="C144" s="4"/>
      <c r="D144" s="4">
        <v>0</v>
      </c>
      <c r="E144" s="4" t="s">
        <v>103</v>
      </c>
      <c r="F144" s="4">
        <v>0</v>
      </c>
      <c r="G144" s="4" t="s">
        <v>685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686</v>
      </c>
      <c r="B145" s="4">
        <v>1</v>
      </c>
      <c r="C145" s="4"/>
      <c r="D145" s="4">
        <v>0</v>
      </c>
      <c r="E145" s="4" t="s">
        <v>103</v>
      </c>
      <c r="F145" s="4">
        <v>0</v>
      </c>
      <c r="G145" s="4" t="s">
        <v>687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688</v>
      </c>
      <c r="B146" s="4">
        <v>1</v>
      </c>
      <c r="C146" s="4"/>
      <c r="D146" s="4">
        <v>0</v>
      </c>
      <c r="E146" s="4" t="s">
        <v>103</v>
      </c>
      <c r="F146" s="4">
        <v>0</v>
      </c>
      <c r="G146" s="4" t="s">
        <v>689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690</v>
      </c>
      <c r="B147" s="4">
        <v>1</v>
      </c>
      <c r="C147" s="4"/>
      <c r="D147" s="4">
        <v>0</v>
      </c>
      <c r="E147" s="4" t="s">
        <v>103</v>
      </c>
      <c r="F147" s="4">
        <v>0</v>
      </c>
      <c r="G147" s="4" t="s">
        <v>691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692</v>
      </c>
      <c r="B148" s="4">
        <v>1</v>
      </c>
      <c r="C148" s="4"/>
      <c r="D148" s="4">
        <v>0</v>
      </c>
      <c r="E148" s="4" t="s">
        <v>103</v>
      </c>
      <c r="F148" s="4">
        <v>0</v>
      </c>
      <c r="G148" s="4" t="s">
        <v>693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694</v>
      </c>
      <c r="B149" s="4">
        <v>1</v>
      </c>
      <c r="C149" s="4"/>
      <c r="D149" s="4">
        <v>0</v>
      </c>
      <c r="E149" s="4" t="s">
        <v>103</v>
      </c>
      <c r="F149" s="4">
        <v>0</v>
      </c>
      <c r="G149" s="4" t="s">
        <v>695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696</v>
      </c>
      <c r="B150" s="4">
        <v>1</v>
      </c>
      <c r="C150" s="4"/>
      <c r="D150" s="4">
        <v>0</v>
      </c>
      <c r="E150" s="4" t="s">
        <v>103</v>
      </c>
      <c r="F150" s="4">
        <v>0</v>
      </c>
      <c r="G150" s="4" t="s">
        <v>697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698</v>
      </c>
      <c r="B151" s="4">
        <v>1</v>
      </c>
      <c r="C151" s="4"/>
      <c r="D151" s="4">
        <v>0</v>
      </c>
      <c r="E151" s="4" t="s">
        <v>103</v>
      </c>
      <c r="F151" s="4">
        <v>0</v>
      </c>
      <c r="G151" s="4" t="s">
        <v>699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700</v>
      </c>
      <c r="B152" s="4">
        <v>3</v>
      </c>
      <c r="C152" s="4"/>
      <c r="D152" s="4">
        <v>0</v>
      </c>
      <c r="E152" s="4" t="s">
        <v>103</v>
      </c>
      <c r="F152" s="4">
        <v>0</v>
      </c>
      <c r="G152" s="4" t="s">
        <v>701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702</v>
      </c>
      <c r="B2" s="4">
        <v>1</v>
      </c>
      <c r="C2" s="4" t="s">
        <v>27</v>
      </c>
      <c r="D2" s="4"/>
      <c r="E2" s="4"/>
      <c r="F2" s="4">
        <v>200</v>
      </c>
      <c r="G2" s="4" t="s">
        <v>703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704</v>
      </c>
      <c r="B3" s="4">
        <v>1</v>
      </c>
      <c r="C3" s="4" t="s">
        <v>27</v>
      </c>
      <c r="D3" s="4"/>
      <c r="E3" s="4"/>
      <c r="F3" s="4">
        <v>30.5</v>
      </c>
      <c r="G3" s="4" t="s">
        <v>705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706</v>
      </c>
      <c r="B4" s="4">
        <v>1</v>
      </c>
      <c r="C4" s="4" t="s">
        <v>27</v>
      </c>
      <c r="D4" s="4"/>
      <c r="E4" s="4"/>
      <c r="F4" s="4">
        <v>45</v>
      </c>
      <c r="G4" s="4" t="s">
        <v>707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708</v>
      </c>
      <c r="B5" s="4">
        <v>6</v>
      </c>
      <c r="C5" s="4" t="s">
        <v>27</v>
      </c>
      <c r="D5" s="4"/>
      <c r="E5" s="4"/>
      <c r="F5" s="4">
        <v>45</v>
      </c>
      <c r="G5" s="4" t="s">
        <v>709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710</v>
      </c>
      <c r="B6" s="4">
        <v>0</v>
      </c>
      <c r="C6" s="4" t="s">
        <v>27</v>
      </c>
      <c r="D6" s="4"/>
      <c r="E6" s="4"/>
      <c r="F6" s="4">
        <v>250</v>
      </c>
      <c r="G6" s="4" t="s">
        <v>711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712</v>
      </c>
      <c r="B7" s="4">
        <v>2</v>
      </c>
      <c r="C7" s="4" t="s">
        <v>27</v>
      </c>
      <c r="D7" s="4"/>
      <c r="E7" s="4"/>
      <c r="F7" s="4">
        <v>50</v>
      </c>
      <c r="G7" s="4" t="s">
        <v>713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714</v>
      </c>
      <c r="B8" s="4">
        <v>1</v>
      </c>
      <c r="C8" s="4"/>
      <c r="D8" s="4">
        <v>0</v>
      </c>
      <c r="E8" s="4" t="s">
        <v>103</v>
      </c>
      <c r="F8" s="4">
        <v>0</v>
      </c>
      <c r="G8" s="4" t="s">
        <v>715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716</v>
      </c>
      <c r="B9" s="4">
        <v>1</v>
      </c>
      <c r="C9" s="4"/>
      <c r="D9" s="4">
        <v>0</v>
      </c>
      <c r="E9" s="4" t="s">
        <v>103</v>
      </c>
      <c r="F9" s="4">
        <v>0</v>
      </c>
      <c r="G9" s="4" t="s">
        <v>717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718</v>
      </c>
      <c r="B10" s="4">
        <v>1</v>
      </c>
      <c r="C10" s="4"/>
      <c r="D10" s="4">
        <v>0</v>
      </c>
      <c r="E10" s="4" t="s">
        <v>103</v>
      </c>
      <c r="F10" s="4">
        <v>0</v>
      </c>
      <c r="G10" s="4" t="s">
        <v>719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720</v>
      </c>
      <c r="B11" s="4">
        <v>4</v>
      </c>
      <c r="C11" s="4"/>
      <c r="D11" s="4">
        <v>0</v>
      </c>
      <c r="E11" s="4" t="s">
        <v>103</v>
      </c>
      <c r="F11" s="4">
        <v>0</v>
      </c>
      <c r="G11" s="4" t="s">
        <v>721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722</v>
      </c>
      <c r="B12" s="4">
        <v>8</v>
      </c>
      <c r="C12" s="4"/>
      <c r="D12" s="4">
        <v>0</v>
      </c>
      <c r="E12" s="4" t="s">
        <v>103</v>
      </c>
      <c r="F12" s="4">
        <v>0</v>
      </c>
      <c r="G12" s="4" t="s">
        <v>723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724</v>
      </c>
      <c r="B2" s="4">
        <v>1</v>
      </c>
      <c r="C2" s="4" t="s">
        <v>27</v>
      </c>
      <c r="D2" s="4"/>
      <c r="E2" s="4"/>
      <c r="F2" s="4">
        <v>87</v>
      </c>
      <c r="G2" s="4" t="s">
        <v>725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726</v>
      </c>
      <c r="B3" s="4">
        <v>1</v>
      </c>
      <c r="C3" s="4" t="s">
        <v>27</v>
      </c>
      <c r="D3" s="4"/>
      <c r="E3" s="4"/>
      <c r="F3" s="4">
        <v>35</v>
      </c>
      <c r="G3" s="4" t="s">
        <v>727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728</v>
      </c>
      <c r="B4" s="4">
        <v>1</v>
      </c>
      <c r="C4" s="4" t="s">
        <v>27</v>
      </c>
      <c r="D4" s="4"/>
      <c r="E4" s="4"/>
      <c r="F4" s="4">
        <v>35</v>
      </c>
      <c r="G4" s="4" t="s">
        <v>729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730</v>
      </c>
      <c r="B2" s="4">
        <v>7</v>
      </c>
      <c r="C2" s="4" t="s">
        <v>27</v>
      </c>
      <c r="D2" s="4"/>
      <c r="E2" s="4"/>
      <c r="F2" s="4">
        <v>30</v>
      </c>
      <c r="G2" s="4" t="s">
        <v>731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732</v>
      </c>
      <c r="B3" s="4">
        <v>7</v>
      </c>
      <c r="C3" s="4" t="s">
        <v>27</v>
      </c>
      <c r="D3" s="4"/>
      <c r="E3" s="4"/>
      <c r="F3" s="4">
        <v>25</v>
      </c>
      <c r="G3" s="4" t="s">
        <v>733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734</v>
      </c>
      <c r="B4" s="4">
        <v>1</v>
      </c>
      <c r="C4" s="4" t="s">
        <v>27</v>
      </c>
      <c r="D4" s="4"/>
      <c r="E4" s="4"/>
      <c r="F4" s="4">
        <v>42</v>
      </c>
      <c r="G4" s="4" t="s">
        <v>735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736</v>
      </c>
      <c r="B5" s="4">
        <v>3</v>
      </c>
      <c r="C5" s="4" t="s">
        <v>27</v>
      </c>
      <c r="D5" s="4"/>
      <c r="E5" s="4"/>
      <c r="F5" s="4">
        <v>10</v>
      </c>
      <c r="G5" s="4" t="s">
        <v>737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738</v>
      </c>
      <c r="B6" s="4">
        <v>1</v>
      </c>
      <c r="C6" s="4" t="s">
        <v>27</v>
      </c>
      <c r="D6" s="4"/>
      <c r="E6" s="4"/>
      <c r="F6" s="4">
        <v>50</v>
      </c>
      <c r="G6" s="4" t="s">
        <v>739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740</v>
      </c>
      <c r="B7" s="4">
        <v>1</v>
      </c>
      <c r="C7" s="4"/>
      <c r="D7" s="4">
        <v>0</v>
      </c>
      <c r="E7" s="4" t="s">
        <v>103</v>
      </c>
      <c r="F7" s="4">
        <v>0</v>
      </c>
      <c r="G7" s="4" t="s">
        <v>741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742</v>
      </c>
      <c r="B2" s="4">
        <v>2</v>
      </c>
      <c r="C2" s="4" t="s">
        <v>16</v>
      </c>
      <c r="D2" s="4"/>
      <c r="E2" s="4" t="s">
        <v>743</v>
      </c>
      <c r="F2" s="4"/>
      <c r="G2" s="4" t="s">
        <v>744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745</v>
      </c>
      <c r="B2" s="4">
        <v>25</v>
      </c>
      <c r="C2" s="4" t="s">
        <v>746</v>
      </c>
      <c r="D2" s="4"/>
      <c r="E2" s="4" t="s">
        <v>103</v>
      </c>
      <c r="F2" s="4"/>
      <c r="G2" s="4" t="s">
        <v>747</v>
      </c>
      <c r="H2" s="4">
        <v>6.32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749</v>
      </c>
      <c r="B3" s="4">
        <v>1.5</v>
      </c>
      <c r="C3" s="4" t="s">
        <v>746</v>
      </c>
      <c r="D3" s="4"/>
      <c r="E3" s="4" t="s">
        <v>103</v>
      </c>
      <c r="F3" s="4"/>
      <c r="G3" s="4" t="s">
        <v>750</v>
      </c>
      <c r="H3" s="4">
        <v>6.88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751</v>
      </c>
      <c r="B4" s="4">
        <v>0.75</v>
      </c>
      <c r="C4" s="4" t="s">
        <v>746</v>
      </c>
      <c r="D4" s="4"/>
      <c r="E4" s="4" t="s">
        <v>103</v>
      </c>
      <c r="F4" s="4"/>
      <c r="G4" s="4" t="s">
        <v>752</v>
      </c>
      <c r="H4" s="4">
        <v>6.88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753</v>
      </c>
      <c r="B5" s="4">
        <v>25</v>
      </c>
      <c r="C5" s="4" t="s">
        <v>746</v>
      </c>
      <c r="D5" s="4"/>
      <c r="E5" s="4" t="s">
        <v>103</v>
      </c>
      <c r="F5" s="4"/>
      <c r="G5" s="4" t="s">
        <v>754</v>
      </c>
      <c r="H5" s="4">
        <v>6.32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755</v>
      </c>
      <c r="B6" s="4">
        <v>1.25</v>
      </c>
      <c r="C6" s="4" t="s">
        <v>746</v>
      </c>
      <c r="D6" s="4"/>
      <c r="E6" s="4" t="s">
        <v>103</v>
      </c>
      <c r="F6" s="4"/>
      <c r="G6" s="4" t="s">
        <v>756</v>
      </c>
      <c r="H6" s="4">
        <v>6.88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757</v>
      </c>
      <c r="B7" s="4">
        <v>1.25</v>
      </c>
      <c r="C7" s="4" t="s">
        <v>746</v>
      </c>
      <c r="D7" s="4"/>
      <c r="E7" s="4" t="s">
        <v>103</v>
      </c>
      <c r="F7" s="4"/>
      <c r="G7" s="4" t="s">
        <v>758</v>
      </c>
      <c r="H7" s="4">
        <v>6.88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759</v>
      </c>
      <c r="B8" s="4">
        <v>0.63</v>
      </c>
      <c r="C8" s="4" t="s">
        <v>746</v>
      </c>
      <c r="D8" s="4"/>
      <c r="E8" s="4" t="s">
        <v>103</v>
      </c>
      <c r="F8" s="4"/>
      <c r="G8" s="4" t="s">
        <v>760</v>
      </c>
      <c r="H8" s="4">
        <v>6.88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761</v>
      </c>
      <c r="B9" s="4">
        <v>8.5</v>
      </c>
      <c r="C9" s="4" t="s">
        <v>746</v>
      </c>
      <c r="D9" s="4"/>
      <c r="E9" s="4" t="s">
        <v>103</v>
      </c>
      <c r="F9" s="4"/>
      <c r="G9" s="4" t="s">
        <v>762</v>
      </c>
      <c r="H9" s="4">
        <v>18.25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763</v>
      </c>
      <c r="B10" s="4">
        <v>2.8</v>
      </c>
      <c r="C10" s="4" t="s">
        <v>746</v>
      </c>
      <c r="D10" s="4"/>
      <c r="E10" s="4" t="s">
        <v>103</v>
      </c>
      <c r="F10" s="4"/>
      <c r="G10" s="4" t="s">
        <v>764</v>
      </c>
      <c r="H10" s="4">
        <v>0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765</v>
      </c>
      <c r="B11" s="4">
        <v>2.87</v>
      </c>
      <c r="C11" s="4"/>
      <c r="D11" s="4">
        <v>0</v>
      </c>
      <c r="E11" s="4" t="s">
        <v>103</v>
      </c>
      <c r="F11" s="4">
        <v>0</v>
      </c>
      <c r="G11" s="4" t="s">
        <v>758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766</v>
      </c>
      <c r="N11" s="4">
        <v>0</v>
      </c>
      <c r="O11" s="3">
        <f>=0</f>
      </c>
    </row>
    <row r="12" spans="1:15" x14ac:dyDescent="0.25">
      <c r="A12" s="2" t="s">
        <v>767</v>
      </c>
      <c r="B12" s="4">
        <v>1.71</v>
      </c>
      <c r="C12" s="4"/>
      <c r="D12" s="4">
        <v>0</v>
      </c>
      <c r="E12" s="4" t="s">
        <v>103</v>
      </c>
      <c r="F12" s="4">
        <v>0</v>
      </c>
      <c r="G12" s="4" t="s">
        <v>768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766</v>
      </c>
      <c r="N12" s="4">
        <v>0</v>
      </c>
      <c r="O12" s="3">
        <f>=0</f>
      </c>
    </row>
    <row r="13" spans="1:15" x14ac:dyDescent="0.25">
      <c r="A13" s="2" t="s">
        <v>769</v>
      </c>
      <c r="B13" s="4">
        <v>1.81</v>
      </c>
      <c r="C13" s="4"/>
      <c r="D13" s="4">
        <v>0</v>
      </c>
      <c r="E13" s="4" t="s">
        <v>103</v>
      </c>
      <c r="F13" s="4">
        <v>0</v>
      </c>
      <c r="G13" s="4" t="s">
        <v>768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766</v>
      </c>
      <c r="N13" s="4">
        <v>0</v>
      </c>
      <c r="O13" s="3">
        <f>=0</f>
      </c>
    </row>
    <row r="14" spans="1:15" x14ac:dyDescent="0.25">
      <c r="A14" s="2" t="s">
        <v>770</v>
      </c>
      <c r="B14" s="4">
        <v>0.88</v>
      </c>
      <c r="C14" s="4"/>
      <c r="D14" s="4">
        <v>0</v>
      </c>
      <c r="E14" s="4" t="s">
        <v>103</v>
      </c>
      <c r="F14" s="4">
        <v>0</v>
      </c>
      <c r="G14" s="4" t="s">
        <v>760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766</v>
      </c>
      <c r="N14" s="4">
        <v>0</v>
      </c>
      <c r="O14" s="3">
        <f>=0</f>
      </c>
    </row>
    <row r="15" spans="1:15" x14ac:dyDescent="0.25">
      <c r="A15" s="2" t="s">
        <v>771</v>
      </c>
      <c r="B15" s="4">
        <v>1.72</v>
      </c>
      <c r="C15" s="4"/>
      <c r="D15" s="4">
        <v>0</v>
      </c>
      <c r="E15" s="4" t="s">
        <v>103</v>
      </c>
      <c r="F15" s="4">
        <v>0</v>
      </c>
      <c r="G15" s="4" t="s">
        <v>760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766</v>
      </c>
      <c r="N15" s="4">
        <v>0</v>
      </c>
      <c r="O15" s="3">
        <f>=0</f>
      </c>
    </row>
    <row r="16" spans="1:15" x14ac:dyDescent="0.25">
      <c r="A16" s="2" t="s">
        <v>772</v>
      </c>
      <c r="B16" s="4">
        <v>1.03</v>
      </c>
      <c r="C16" s="4"/>
      <c r="D16" s="4">
        <v>0</v>
      </c>
      <c r="E16" s="4" t="s">
        <v>103</v>
      </c>
      <c r="F16" s="4">
        <v>0</v>
      </c>
      <c r="G16" s="4" t="s">
        <v>756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766</v>
      </c>
      <c r="N16" s="4">
        <v>0</v>
      </c>
      <c r="O16" s="3">
        <f>=0</f>
      </c>
    </row>
    <row r="17" spans="1:15" x14ac:dyDescent="0.25">
      <c r="A17" s="2" t="s">
        <v>773</v>
      </c>
      <c r="B17" s="4">
        <v>2.34</v>
      </c>
      <c r="C17" s="4"/>
      <c r="D17" s="4">
        <v>0</v>
      </c>
      <c r="E17" s="4" t="s">
        <v>103</v>
      </c>
      <c r="F17" s="4">
        <v>0</v>
      </c>
      <c r="G17" s="4" t="s">
        <v>774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103</v>
      </c>
      <c r="N17" s="4">
        <v>0</v>
      </c>
      <c r="O17" s="3">
        <f>=0</f>
      </c>
    </row>
    <row r="18" spans="1:15" x14ac:dyDescent="0.25">
      <c r="A18" s="2" t="s">
        <v>775</v>
      </c>
      <c r="B18" s="4">
        <v>2.65</v>
      </c>
      <c r="C18" s="4"/>
      <c r="D18" s="4">
        <v>0</v>
      </c>
      <c r="E18" s="4" t="s">
        <v>103</v>
      </c>
      <c r="F18" s="4">
        <v>0</v>
      </c>
      <c r="G18" s="4" t="s">
        <v>776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766</v>
      </c>
      <c r="N18" s="4">
        <v>0</v>
      </c>
      <c r="O18" s="3">
        <f>=0</f>
      </c>
    </row>
    <row r="19" spans="1:15" x14ac:dyDescent="0.25">
      <c r="A19" s="2" t="s">
        <v>777</v>
      </c>
      <c r="B19" s="4">
        <v>1.5</v>
      </c>
      <c r="C19" s="4"/>
      <c r="D19" s="4">
        <v>0</v>
      </c>
      <c r="E19" s="4" t="s">
        <v>103</v>
      </c>
      <c r="F19" s="4">
        <v>0</v>
      </c>
      <c r="G19" s="4" t="s">
        <v>776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766</v>
      </c>
      <c r="N19" s="4">
        <v>0</v>
      </c>
      <c r="O19" s="3">
        <f>=0</f>
      </c>
    </row>
    <row r="20" spans="1:15" x14ac:dyDescent="0.25">
      <c r="A20" s="2" t="s">
        <v>778</v>
      </c>
      <c r="B20" s="4">
        <v>1.25</v>
      </c>
      <c r="C20" s="4"/>
      <c r="D20" s="4">
        <v>0</v>
      </c>
      <c r="E20" s="4" t="s">
        <v>103</v>
      </c>
      <c r="F20" s="4">
        <v>0</v>
      </c>
      <c r="G20" s="4" t="s">
        <v>776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766</v>
      </c>
      <c r="N20" s="4">
        <v>0</v>
      </c>
      <c r="O20" s="3">
        <f>=0</f>
      </c>
    </row>
    <row r="21" spans="1:15" x14ac:dyDescent="0.25">
      <c r="A21" s="2" t="s">
        <v>779</v>
      </c>
      <c r="B21" s="4">
        <v>0.81</v>
      </c>
      <c r="C21" s="4"/>
      <c r="D21" s="4">
        <v>0</v>
      </c>
      <c r="E21" s="4" t="s">
        <v>103</v>
      </c>
      <c r="F21" s="4">
        <v>0</v>
      </c>
      <c r="G21" s="4" t="s">
        <v>780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766</v>
      </c>
      <c r="N21" s="4">
        <v>0</v>
      </c>
      <c r="O21" s="3">
        <f>=0</f>
      </c>
    </row>
    <row r="22" spans="1:15" x14ac:dyDescent="0.25">
      <c r="A22" s="2" t="s">
        <v>781</v>
      </c>
      <c r="B22" s="4">
        <v>0.86</v>
      </c>
      <c r="C22" s="4"/>
      <c r="D22" s="4">
        <v>0</v>
      </c>
      <c r="E22" s="4" t="s">
        <v>103</v>
      </c>
      <c r="F22" s="4">
        <v>0</v>
      </c>
      <c r="G22" s="4" t="s">
        <v>780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766</v>
      </c>
      <c r="N22" s="4">
        <v>0</v>
      </c>
      <c r="O22" s="3">
        <f>=0</f>
      </c>
    </row>
    <row r="23" spans="1:15" x14ac:dyDescent="0.25">
      <c r="A23" s="2" t="s">
        <v>782</v>
      </c>
      <c r="B23" s="4">
        <v>4.3</v>
      </c>
      <c r="C23" s="4"/>
      <c r="D23" s="4">
        <v>0</v>
      </c>
      <c r="E23" s="4" t="s">
        <v>103</v>
      </c>
      <c r="F23" s="4">
        <v>0</v>
      </c>
      <c r="G23" s="4" t="s">
        <v>783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766</v>
      </c>
      <c r="N23" s="4">
        <v>0</v>
      </c>
      <c r="O23" s="3">
        <f>=0</f>
      </c>
    </row>
    <row r="24" spans="1:15" x14ac:dyDescent="0.25">
      <c r="A24" s="2" t="s">
        <v>784</v>
      </c>
      <c r="B24" s="4">
        <v>1.62</v>
      </c>
      <c r="C24" s="4"/>
      <c r="D24" s="4">
        <v>0</v>
      </c>
      <c r="E24" s="4" t="s">
        <v>103</v>
      </c>
      <c r="F24" s="4">
        <v>0</v>
      </c>
      <c r="G24" s="4" t="s">
        <v>785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766</v>
      </c>
      <c r="N24" s="4">
        <v>0</v>
      </c>
      <c r="O24" s="3">
        <f>=0</f>
      </c>
    </row>
    <row r="25" spans="1:15" x14ac:dyDescent="0.25">
      <c r="A25" s="2" t="s">
        <v>786</v>
      </c>
      <c r="B25" s="4">
        <v>25</v>
      </c>
      <c r="C25" s="4"/>
      <c r="D25" s="4">
        <v>0</v>
      </c>
      <c r="E25" s="4" t="s">
        <v>103</v>
      </c>
      <c r="F25" s="4">
        <v>0</v>
      </c>
      <c r="G25" s="4" t="s">
        <v>787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103</v>
      </c>
      <c r="N25" s="4">
        <v>0</v>
      </c>
      <c r="O25" s="3">
        <f>=0</f>
      </c>
    </row>
    <row r="26" spans="1:15" x14ac:dyDescent="0.25">
      <c r="A26" s="2" t="s">
        <v>788</v>
      </c>
      <c r="B26" s="4">
        <v>25</v>
      </c>
      <c r="C26" s="4"/>
      <c r="D26" s="4">
        <v>0</v>
      </c>
      <c r="E26" s="4" t="s">
        <v>103</v>
      </c>
      <c r="F26" s="4">
        <v>0</v>
      </c>
      <c r="G26" s="4" t="s">
        <v>789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103</v>
      </c>
      <c r="N26" s="4">
        <v>0</v>
      </c>
      <c r="O26" s="3">
        <f>=0</f>
      </c>
    </row>
    <row r="27" spans="1:15" x14ac:dyDescent="0.25">
      <c r="A27" s="2" t="s">
        <v>790</v>
      </c>
      <c r="B27" s="4">
        <v>25</v>
      </c>
      <c r="C27" s="4"/>
      <c r="D27" s="4">
        <v>0</v>
      </c>
      <c r="E27" s="4" t="s">
        <v>103</v>
      </c>
      <c r="F27" s="4">
        <v>0</v>
      </c>
      <c r="G27" s="4" t="s">
        <v>785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103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791</v>
      </c>
      <c r="B2" s="4">
        <v>1.4</v>
      </c>
      <c r="C2" s="4" t="s">
        <v>746</v>
      </c>
      <c r="D2" s="4"/>
      <c r="E2" s="4"/>
      <c r="F2" s="4"/>
      <c r="G2" s="4" t="s">
        <v>792</v>
      </c>
      <c r="H2" s="4">
        <v>18.65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793</v>
      </c>
      <c r="B3" s="4">
        <v>3</v>
      </c>
      <c r="C3" s="4" t="s">
        <v>746</v>
      </c>
      <c r="D3" s="4"/>
      <c r="E3" s="4"/>
      <c r="F3" s="4"/>
      <c r="G3" s="4" t="s">
        <v>794</v>
      </c>
      <c r="H3" s="4">
        <v>17.49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795</v>
      </c>
      <c r="B4" s="4">
        <v>0.93</v>
      </c>
      <c r="C4" s="4" t="s">
        <v>746</v>
      </c>
      <c r="D4" s="4"/>
      <c r="E4" s="4"/>
      <c r="F4" s="4"/>
      <c r="G4" s="4" t="s">
        <v>796</v>
      </c>
      <c r="H4" s="4">
        <v>18.65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797</v>
      </c>
      <c r="B5" s="4">
        <v>1.2</v>
      </c>
      <c r="C5" s="4" t="s">
        <v>746</v>
      </c>
      <c r="D5" s="4"/>
      <c r="E5" s="4"/>
      <c r="F5" s="4"/>
      <c r="G5" s="4" t="s">
        <v>796</v>
      </c>
      <c r="H5" s="4">
        <v>18.65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798</v>
      </c>
      <c r="B6" s="4">
        <v>1.4</v>
      </c>
      <c r="C6" s="4" t="s">
        <v>746</v>
      </c>
      <c r="D6" s="4"/>
      <c r="E6" s="4"/>
      <c r="F6" s="4"/>
      <c r="G6" s="4" t="s">
        <v>799</v>
      </c>
      <c r="H6" s="4">
        <v>24.13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800</v>
      </c>
      <c r="B2" s="4">
        <v>3</v>
      </c>
      <c r="C2" s="4" t="s">
        <v>746</v>
      </c>
      <c r="D2" s="4"/>
      <c r="E2" s="4"/>
      <c r="F2" s="4"/>
      <c r="G2" s="4" t="s">
        <v>801</v>
      </c>
      <c r="H2" s="4">
        <v>12.5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802</v>
      </c>
      <c r="B3" s="4">
        <v>0.4</v>
      </c>
      <c r="C3" s="4" t="s">
        <v>746</v>
      </c>
      <c r="D3" s="4"/>
      <c r="E3" s="4"/>
      <c r="F3" s="4"/>
      <c r="G3" s="4" t="s">
        <v>803</v>
      </c>
      <c r="H3" s="4">
        <v>6.21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804</v>
      </c>
      <c r="B4" s="4">
        <v>0.5</v>
      </c>
      <c r="C4" s="4" t="s">
        <v>746</v>
      </c>
      <c r="D4" s="4"/>
      <c r="E4" s="4"/>
      <c r="F4" s="4"/>
      <c r="G4" s="4" t="s">
        <v>805</v>
      </c>
      <c r="H4" s="4">
        <v>6.21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806</v>
      </c>
      <c r="B5" s="4">
        <v>0.7</v>
      </c>
      <c r="C5" s="4" t="s">
        <v>746</v>
      </c>
      <c r="D5" s="4"/>
      <c r="E5" s="4"/>
      <c r="F5" s="4"/>
      <c r="G5" s="4" t="s">
        <v>807</v>
      </c>
      <c r="H5" s="4">
        <v>6.21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808</v>
      </c>
      <c r="B6" s="4">
        <v>0.65</v>
      </c>
      <c r="C6" s="4" t="s">
        <v>746</v>
      </c>
      <c r="D6" s="4"/>
      <c r="E6" s="4"/>
      <c r="F6" s="4"/>
      <c r="G6" s="4" t="s">
        <v>809</v>
      </c>
      <c r="H6" s="4">
        <v>6.21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810</v>
      </c>
      <c r="B7" s="4">
        <v>6</v>
      </c>
      <c r="C7" s="4" t="s">
        <v>746</v>
      </c>
      <c r="D7" s="4"/>
      <c r="E7" s="4"/>
      <c r="F7" s="4"/>
      <c r="G7" s="4" t="s">
        <v>809</v>
      </c>
      <c r="H7" s="4">
        <v>6.21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811</v>
      </c>
      <c r="B8" s="4">
        <v>2</v>
      </c>
      <c r="C8" s="4" t="s">
        <v>746</v>
      </c>
      <c r="D8" s="4"/>
      <c r="E8" s="4"/>
      <c r="F8" s="4"/>
      <c r="G8" s="4" t="s">
        <v>812</v>
      </c>
      <c r="H8" s="4">
        <v>12.1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813</v>
      </c>
      <c r="B9" s="4">
        <v>4</v>
      </c>
      <c r="C9" s="4" t="s">
        <v>746</v>
      </c>
      <c r="D9" s="4"/>
      <c r="E9" s="4"/>
      <c r="F9" s="4"/>
      <c r="G9" s="4" t="s">
        <v>814</v>
      </c>
      <c r="H9" s="4">
        <v>6.21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815</v>
      </c>
      <c r="B10" s="4">
        <v>5</v>
      </c>
      <c r="C10" s="4" t="s">
        <v>746</v>
      </c>
      <c r="D10" s="4"/>
      <c r="E10" s="4"/>
      <c r="F10" s="4"/>
      <c r="G10" s="4" t="s">
        <v>816</v>
      </c>
      <c r="H10" s="4">
        <v>6.21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817</v>
      </c>
      <c r="B11" s="4">
        <v>3</v>
      </c>
      <c r="C11" s="4" t="s">
        <v>746</v>
      </c>
      <c r="D11" s="4"/>
      <c r="E11" s="4"/>
      <c r="F11" s="4"/>
      <c r="G11" s="4" t="s">
        <v>818</v>
      </c>
      <c r="H11" s="4">
        <v>7.1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819</v>
      </c>
      <c r="B12" s="4">
        <v>4</v>
      </c>
      <c r="C12" s="4" t="s">
        <v>746</v>
      </c>
      <c r="D12" s="4"/>
      <c r="E12" s="4"/>
      <c r="F12" s="4"/>
      <c r="G12" s="4" t="s">
        <v>820</v>
      </c>
      <c r="H12" s="4">
        <v>6.21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821</v>
      </c>
      <c r="B13" s="4">
        <v>2</v>
      </c>
      <c r="C13" s="4" t="s">
        <v>746</v>
      </c>
      <c r="D13" s="4"/>
      <c r="E13" s="4"/>
      <c r="F13" s="4"/>
      <c r="G13" s="4" t="s">
        <v>822</v>
      </c>
      <c r="H13" s="4">
        <v>6.21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823</v>
      </c>
      <c r="B14" s="4">
        <v>1.9</v>
      </c>
      <c r="C14" s="4" t="s">
        <v>746</v>
      </c>
      <c r="D14" s="4"/>
      <c r="E14" s="4"/>
      <c r="F14" s="4"/>
      <c r="G14" s="4" t="s">
        <v>824</v>
      </c>
      <c r="H14" s="4">
        <v>9.52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825</v>
      </c>
      <c r="B15" s="4">
        <v>23.5</v>
      </c>
      <c r="C15" s="4" t="s">
        <v>746</v>
      </c>
      <c r="D15" s="4"/>
      <c r="E15" s="4"/>
      <c r="F15" s="4"/>
      <c r="G15" s="4" t="s">
        <v>826</v>
      </c>
      <c r="H15" s="4">
        <v>6.62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827</v>
      </c>
      <c r="B16" s="4">
        <v>22</v>
      </c>
      <c r="C16" s="4" t="s">
        <v>746</v>
      </c>
      <c r="D16" s="4"/>
      <c r="E16" s="4"/>
      <c r="F16" s="4"/>
      <c r="G16" s="4" t="s">
        <v>828</v>
      </c>
      <c r="H16" s="4">
        <v>6.21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829</v>
      </c>
      <c r="B17" s="4">
        <v>1.5</v>
      </c>
      <c r="C17" s="4" t="s">
        <v>746</v>
      </c>
      <c r="D17" s="4"/>
      <c r="E17" s="4"/>
      <c r="F17" s="4"/>
      <c r="G17" s="4" t="s">
        <v>830</v>
      </c>
      <c r="H17" s="4">
        <v>6.21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831</v>
      </c>
      <c r="B18" s="4">
        <v>2</v>
      </c>
      <c r="C18" s="4" t="s">
        <v>746</v>
      </c>
      <c r="D18" s="4"/>
      <c r="E18" s="4"/>
      <c r="F18" s="4"/>
      <c r="G18" s="4" t="s">
        <v>832</v>
      </c>
      <c r="H18" s="4">
        <v>6.21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833</v>
      </c>
      <c r="B19" s="4">
        <v>0.7</v>
      </c>
      <c r="C19" s="4" t="s">
        <v>746</v>
      </c>
      <c r="D19" s="4"/>
      <c r="E19" s="4"/>
      <c r="F19" s="4"/>
      <c r="G19" s="4" t="s">
        <v>834</v>
      </c>
      <c r="H19" s="4">
        <v>6.21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835</v>
      </c>
      <c r="B20" s="4">
        <v>7</v>
      </c>
      <c r="C20" s="4" t="s">
        <v>746</v>
      </c>
      <c r="D20" s="4"/>
      <c r="E20" s="4"/>
      <c r="F20" s="4"/>
      <c r="G20" s="4" t="s">
        <v>836</v>
      </c>
      <c r="H20" s="4">
        <v>6.21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837</v>
      </c>
      <c r="B21" s="4">
        <v>5</v>
      </c>
      <c r="C21" s="4" t="s">
        <v>746</v>
      </c>
      <c r="D21" s="4"/>
      <c r="E21" s="4"/>
      <c r="F21" s="4"/>
      <c r="G21" s="4" t="s">
        <v>838</v>
      </c>
      <c r="H21" s="4">
        <v>6.21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839</v>
      </c>
      <c r="B22" s="4">
        <v>0.9</v>
      </c>
      <c r="C22" s="4" t="s">
        <v>746</v>
      </c>
      <c r="D22" s="4"/>
      <c r="E22" s="4"/>
      <c r="F22" s="4"/>
      <c r="G22" s="4" t="s">
        <v>840</v>
      </c>
      <c r="H22" s="4">
        <v>10.41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841</v>
      </c>
      <c r="B2" s="4">
        <v>5.3</v>
      </c>
      <c r="C2" s="4" t="s">
        <v>842</v>
      </c>
      <c r="D2" s="4"/>
      <c r="E2" s="4"/>
      <c r="F2" s="4"/>
      <c r="G2" s="4" t="s">
        <v>843</v>
      </c>
      <c r="H2" s="4"/>
      <c r="I2" s="4"/>
      <c r="J2" s="4">
        <v>4.14</v>
      </c>
      <c r="K2" s="4"/>
      <c r="L2" s="4"/>
      <c r="M2" s="4" t="s">
        <v>748</v>
      </c>
      <c r="N2" s="4">
        <v>137</v>
      </c>
      <c r="O2" s="3">
        <f>=B2*(N2/100)*J2</f>
      </c>
    </row>
    <row r="3" spans="1:15" x14ac:dyDescent="0.25">
      <c r="A3" s="2" t="s">
        <v>844</v>
      </c>
      <c r="B3" s="4">
        <v>20.8</v>
      </c>
      <c r="C3" s="4" t="s">
        <v>842</v>
      </c>
      <c r="D3" s="4"/>
      <c r="E3" s="4"/>
      <c r="F3" s="4"/>
      <c r="G3" s="4" t="s">
        <v>845</v>
      </c>
      <c r="H3" s="4"/>
      <c r="I3" s="4"/>
      <c r="J3" s="4">
        <v>4.14</v>
      </c>
      <c r="K3" s="4"/>
      <c r="L3" s="4"/>
      <c r="M3" s="4" t="s">
        <v>748</v>
      </c>
      <c r="N3" s="4">
        <v>160</v>
      </c>
      <c r="O3" s="3">
        <f>=B3*(N3/100)*J3</f>
      </c>
    </row>
    <row r="4" spans="1:15" x14ac:dyDescent="0.25">
      <c r="A4" s="2" t="s">
        <v>846</v>
      </c>
      <c r="B4" s="4">
        <v>2</v>
      </c>
      <c r="C4" s="4" t="s">
        <v>842</v>
      </c>
      <c r="D4" s="4"/>
      <c r="E4" s="4"/>
      <c r="F4" s="4"/>
      <c r="G4" s="4" t="s">
        <v>847</v>
      </c>
      <c r="H4" s="4"/>
      <c r="I4" s="4"/>
      <c r="J4" s="4">
        <v>5.01</v>
      </c>
      <c r="K4" s="4"/>
      <c r="L4" s="4"/>
      <c r="M4" s="4" t="s">
        <v>748</v>
      </c>
      <c r="N4" s="4">
        <v>137</v>
      </c>
      <c r="O4" s="3">
        <f>=B4*(N4/100)*J4</f>
      </c>
    </row>
    <row r="5" spans="1:15" x14ac:dyDescent="0.25">
      <c r="A5" s="2" t="s">
        <v>848</v>
      </c>
      <c r="B5" s="4">
        <v>10</v>
      </c>
      <c r="C5" s="4" t="s">
        <v>842</v>
      </c>
      <c r="D5" s="4"/>
      <c r="E5" s="4"/>
      <c r="F5" s="4"/>
      <c r="G5" s="4" t="s">
        <v>849</v>
      </c>
      <c r="H5" s="4"/>
      <c r="I5" s="4"/>
      <c r="J5" s="4">
        <v>5.1</v>
      </c>
      <c r="K5" s="4"/>
      <c r="L5" s="4"/>
      <c r="M5" s="4" t="s">
        <v>748</v>
      </c>
      <c r="N5" s="4">
        <v>137</v>
      </c>
      <c r="O5" s="3">
        <f>=B5*(N5/100)*J5</f>
      </c>
    </row>
    <row r="6" spans="1:15" x14ac:dyDescent="0.25">
      <c r="A6" s="2" t="s">
        <v>850</v>
      </c>
      <c r="B6" s="4">
        <v>0</v>
      </c>
      <c r="C6" s="4" t="s">
        <v>842</v>
      </c>
      <c r="D6" s="4"/>
      <c r="E6" s="4"/>
      <c r="F6" s="4"/>
      <c r="G6" s="4" t="s">
        <v>851</v>
      </c>
      <c r="H6" s="4"/>
      <c r="I6" s="4"/>
      <c r="J6" s="4"/>
      <c r="K6" s="4"/>
      <c r="L6" s="4"/>
      <c r="M6" s="4" t="s">
        <v>748</v>
      </c>
      <c r="N6" s="4">
        <v>137</v>
      </c>
      <c r="O6" s="3">
        <f>=B6*(N6/100)*J6</f>
      </c>
    </row>
    <row r="7" spans="1:15" x14ac:dyDescent="0.25">
      <c r="A7" s="2" t="s">
        <v>852</v>
      </c>
      <c r="B7" s="4">
        <v>50</v>
      </c>
      <c r="C7" s="4" t="s">
        <v>842</v>
      </c>
      <c r="D7" s="4"/>
      <c r="E7" s="4"/>
      <c r="F7" s="4"/>
      <c r="G7" s="4" t="s">
        <v>853</v>
      </c>
      <c r="H7" s="4"/>
      <c r="I7" s="4"/>
      <c r="J7" s="4">
        <v>4.57</v>
      </c>
      <c r="K7" s="4"/>
      <c r="L7" s="4"/>
      <c r="M7" s="4" t="s">
        <v>748</v>
      </c>
      <c r="N7" s="4">
        <v>137</v>
      </c>
      <c r="O7" s="3">
        <f>=B7*(N7/100)*J7</f>
      </c>
    </row>
    <row r="8" spans="1:15" x14ac:dyDescent="0.25">
      <c r="A8" s="2" t="s">
        <v>854</v>
      </c>
      <c r="B8" s="4">
        <v>24</v>
      </c>
      <c r="C8" s="4" t="s">
        <v>842</v>
      </c>
      <c r="D8" s="4"/>
      <c r="E8" s="4"/>
      <c r="F8" s="4"/>
      <c r="G8" s="4" t="s">
        <v>855</v>
      </c>
      <c r="H8" s="4"/>
      <c r="I8" s="4"/>
      <c r="J8" s="4">
        <v>4.57</v>
      </c>
      <c r="K8" s="4"/>
      <c r="L8" s="4"/>
      <c r="M8" s="4" t="s">
        <v>748</v>
      </c>
      <c r="N8" s="4">
        <v>150</v>
      </c>
      <c r="O8" s="3">
        <f>=B8*(N8/100)*J8</f>
      </c>
    </row>
    <row r="9" spans="1:15" x14ac:dyDescent="0.25">
      <c r="A9" s="2" t="s">
        <v>856</v>
      </c>
      <c r="B9" s="4">
        <v>0</v>
      </c>
      <c r="C9" s="4" t="s">
        <v>842</v>
      </c>
      <c r="D9" s="4"/>
      <c r="E9" s="4"/>
      <c r="F9" s="4"/>
      <c r="G9" s="4" t="s">
        <v>857</v>
      </c>
      <c r="H9" s="4"/>
      <c r="I9" s="4"/>
      <c r="J9" s="4">
        <v>1.71</v>
      </c>
      <c r="K9" s="4"/>
      <c r="L9" s="4"/>
      <c r="M9" s="4" t="s">
        <v>748</v>
      </c>
      <c r="N9" s="4">
        <v>137</v>
      </c>
      <c r="O9" s="3">
        <f>=B9*(N9/100)*J9</f>
      </c>
    </row>
    <row r="10" spans="1:15" x14ac:dyDescent="0.25">
      <c r="A10" s="2" t="s">
        <v>858</v>
      </c>
      <c r="B10" s="4">
        <v>43</v>
      </c>
      <c r="C10" s="4" t="s">
        <v>842</v>
      </c>
      <c r="D10" s="4"/>
      <c r="E10" s="4"/>
      <c r="F10" s="4"/>
      <c r="G10" s="4" t="s">
        <v>857</v>
      </c>
      <c r="H10" s="4"/>
      <c r="I10" s="4"/>
      <c r="J10" s="4">
        <v>1.71</v>
      </c>
      <c r="K10" s="4"/>
      <c r="L10" s="4"/>
      <c r="M10" s="4" t="s">
        <v>748</v>
      </c>
      <c r="N10" s="4">
        <v>137</v>
      </c>
      <c r="O10" s="3">
        <f>=B10*(N10/100)*J10</f>
      </c>
    </row>
    <row r="11" spans="1:15" x14ac:dyDescent="0.25">
      <c r="A11" s="2" t="s">
        <v>859</v>
      </c>
      <c r="B11" s="4">
        <v>15.5</v>
      </c>
      <c r="C11" s="4" t="s">
        <v>860</v>
      </c>
      <c r="D11" s="4"/>
      <c r="E11" s="4"/>
      <c r="F11" s="4"/>
      <c r="G11" s="4" t="s">
        <v>861</v>
      </c>
      <c r="H11" s="4"/>
      <c r="I11" s="4">
        <v>262.4</v>
      </c>
      <c r="J11" s="4"/>
      <c r="K11" s="4"/>
      <c r="L11" s="4">
        <v>50</v>
      </c>
      <c r="M11" s="4" t="s">
        <v>748</v>
      </c>
      <c r="N11" s="4">
        <v>160</v>
      </c>
      <c r="O11" s="3">
        <v>0</v>
      </c>
    </row>
    <row r="12" spans="1:15" x14ac:dyDescent="0.25">
      <c r="A12" s="2" t="s">
        <v>862</v>
      </c>
      <c r="B12" s="4">
        <v>5</v>
      </c>
      <c r="C12" s="4" t="s">
        <v>860</v>
      </c>
      <c r="D12" s="4"/>
      <c r="E12" s="4"/>
      <c r="F12" s="4"/>
      <c r="G12" s="4" t="s">
        <v>863</v>
      </c>
      <c r="H12" s="4"/>
      <c r="I12" s="4">
        <v>250.69</v>
      </c>
      <c r="J12" s="4"/>
      <c r="K12" s="4"/>
      <c r="L12" s="4">
        <v>50</v>
      </c>
      <c r="M12" s="4" t="s">
        <v>748</v>
      </c>
      <c r="N12" s="4">
        <v>137</v>
      </c>
      <c r="O12" s="3">
        <v>0</v>
      </c>
    </row>
    <row r="13" spans="1:15" x14ac:dyDescent="0.25">
      <c r="A13" s="2" t="s">
        <v>864</v>
      </c>
      <c r="B13" s="4">
        <v>15</v>
      </c>
      <c r="C13" s="4" t="s">
        <v>842</v>
      </c>
      <c r="D13" s="4"/>
      <c r="E13" s="4"/>
      <c r="F13" s="4"/>
      <c r="G13" s="4" t="s">
        <v>865</v>
      </c>
      <c r="H13" s="4"/>
      <c r="I13" s="4"/>
      <c r="J13" s="4">
        <v>14.29</v>
      </c>
      <c r="K13" s="4"/>
      <c r="L13" s="4"/>
      <c r="M13" s="4" t="s">
        <v>748</v>
      </c>
      <c r="N13" s="4">
        <v>100</v>
      </c>
      <c r="O13" s="3">
        <f>=B13*(N13/100)*J13</f>
      </c>
    </row>
    <row r="14" spans="1:15" x14ac:dyDescent="0.25">
      <c r="A14" s="2" t="s">
        <v>866</v>
      </c>
      <c r="B14" s="4">
        <v>40</v>
      </c>
      <c r="C14" s="4" t="s">
        <v>842</v>
      </c>
      <c r="D14" s="4"/>
      <c r="E14" s="4"/>
      <c r="F14" s="4"/>
      <c r="G14" s="4" t="s">
        <v>867</v>
      </c>
      <c r="H14" s="4"/>
      <c r="I14" s="4"/>
      <c r="J14" s="4">
        <v>14.29</v>
      </c>
      <c r="K14" s="4"/>
      <c r="L14" s="4"/>
      <c r="M14" s="4" t="s">
        <v>748</v>
      </c>
      <c r="N14" s="4">
        <v>137</v>
      </c>
      <c r="O14" s="3">
        <f>=B14*(N14/100)*J14</f>
      </c>
    </row>
    <row r="15" spans="1:15" x14ac:dyDescent="0.25">
      <c r="A15" s="2" t="s">
        <v>868</v>
      </c>
      <c r="B15" s="4">
        <v>3</v>
      </c>
      <c r="C15" s="4" t="s">
        <v>842</v>
      </c>
      <c r="D15" s="4"/>
      <c r="E15" s="4"/>
      <c r="F15" s="4"/>
      <c r="G15" s="4" t="s">
        <v>869</v>
      </c>
      <c r="H15" s="4"/>
      <c r="I15" s="4"/>
      <c r="J15" s="4">
        <v>11.2</v>
      </c>
      <c r="K15" s="4"/>
      <c r="L15" s="4"/>
      <c r="M15" s="4" t="s">
        <v>748</v>
      </c>
      <c r="N15" s="4">
        <v>152</v>
      </c>
      <c r="O15" s="3">
        <f>=B15*(N15/100)*J15</f>
      </c>
    </row>
    <row r="16" spans="1:15" x14ac:dyDescent="0.25">
      <c r="A16" s="2" t="s">
        <v>870</v>
      </c>
      <c r="B16" s="4">
        <v>11</v>
      </c>
      <c r="C16" s="4" t="s">
        <v>860</v>
      </c>
      <c r="D16" s="4"/>
      <c r="E16" s="4"/>
      <c r="F16" s="4"/>
      <c r="G16" s="4" t="s">
        <v>871</v>
      </c>
      <c r="H16" s="4"/>
      <c r="I16" s="4">
        <v>435.8</v>
      </c>
      <c r="J16" s="4"/>
      <c r="K16" s="4"/>
      <c r="L16" s="4">
        <v>25</v>
      </c>
      <c r="M16" s="4" t="s">
        <v>748</v>
      </c>
      <c r="N16" s="4">
        <v>137</v>
      </c>
      <c r="O16" s="3">
        <v>0</v>
      </c>
    </row>
    <row r="17" spans="1:15" x14ac:dyDescent="0.25">
      <c r="A17" s="2" t="s">
        <v>872</v>
      </c>
      <c r="B17" s="4">
        <v>30</v>
      </c>
      <c r="C17" s="4" t="s">
        <v>860</v>
      </c>
      <c r="D17" s="4"/>
      <c r="E17" s="4"/>
      <c r="F17" s="4"/>
      <c r="G17" s="4" t="s">
        <v>873</v>
      </c>
      <c r="H17" s="4"/>
      <c r="I17" s="4">
        <v>213.98</v>
      </c>
      <c r="J17" s="4"/>
      <c r="K17" s="4"/>
      <c r="L17" s="4">
        <v>30</v>
      </c>
      <c r="M17" s="4" t="s">
        <v>748</v>
      </c>
      <c r="N17" s="4">
        <v>137</v>
      </c>
      <c r="O17" s="3">
        <v>0</v>
      </c>
    </row>
    <row r="18" spans="1:15" x14ac:dyDescent="0.25">
      <c r="A18" s="2" t="s">
        <v>874</v>
      </c>
      <c r="B18" s="4">
        <v>50</v>
      </c>
      <c r="C18" s="4" t="s">
        <v>842</v>
      </c>
      <c r="D18" s="4"/>
      <c r="E18" s="4"/>
      <c r="F18" s="4"/>
      <c r="G18" s="4" t="s">
        <v>875</v>
      </c>
      <c r="H18" s="4"/>
      <c r="I18" s="4"/>
      <c r="J18" s="4">
        <v>1.71</v>
      </c>
      <c r="K18" s="4"/>
      <c r="L18" s="4"/>
      <c r="M18" s="4" t="s">
        <v>748</v>
      </c>
      <c r="N18" s="4">
        <v>137</v>
      </c>
      <c r="O18" s="3">
        <f>=B18*(N18/100)*J18</f>
      </c>
    </row>
    <row r="19" spans="1:15" x14ac:dyDescent="0.25">
      <c r="A19" s="2" t="s">
        <v>876</v>
      </c>
      <c r="B19" s="4">
        <v>0</v>
      </c>
      <c r="C19" s="4" t="s">
        <v>842</v>
      </c>
      <c r="D19" s="4"/>
      <c r="E19" s="4"/>
      <c r="F19" s="4"/>
      <c r="G19" s="4" t="s">
        <v>877</v>
      </c>
      <c r="H19" s="4"/>
      <c r="I19" s="4"/>
      <c r="J19" s="4">
        <v>1.71</v>
      </c>
      <c r="K19" s="4"/>
      <c r="L19" s="4"/>
      <c r="M19" s="4" t="s">
        <v>748</v>
      </c>
      <c r="N19" s="4">
        <v>137</v>
      </c>
      <c r="O19" s="3">
        <f>=B19*(N19/100)*J19</f>
      </c>
    </row>
    <row r="20" spans="1:15" x14ac:dyDescent="0.25">
      <c r="A20" s="2" t="s">
        <v>878</v>
      </c>
      <c r="B20" s="4">
        <v>19</v>
      </c>
      <c r="C20" s="4" t="s">
        <v>842</v>
      </c>
      <c r="D20" s="4"/>
      <c r="E20" s="4" t="s">
        <v>103</v>
      </c>
      <c r="F20" s="4"/>
      <c r="G20" s="4" t="s">
        <v>879</v>
      </c>
      <c r="H20" s="4"/>
      <c r="I20" s="4"/>
      <c r="J20" s="4">
        <v>11.2</v>
      </c>
      <c r="K20" s="4"/>
      <c r="L20" s="4"/>
      <c r="M20" s="4" t="s">
        <v>748</v>
      </c>
      <c r="N20" s="4">
        <v>152</v>
      </c>
      <c r="O20" s="3">
        <f>=B20*(N20/100)*J20</f>
      </c>
    </row>
    <row r="21" spans="1:15" x14ac:dyDescent="0.25">
      <c r="A21" s="2" t="s">
        <v>880</v>
      </c>
      <c r="B21" s="4">
        <v>2.5</v>
      </c>
      <c r="C21" s="4" t="s">
        <v>860</v>
      </c>
      <c r="D21" s="4"/>
      <c r="E21" s="4"/>
      <c r="F21" s="4"/>
      <c r="G21" s="4" t="s">
        <v>873</v>
      </c>
      <c r="H21" s="4"/>
      <c r="I21" s="4">
        <v>213.98</v>
      </c>
      <c r="J21" s="4"/>
      <c r="K21" s="4"/>
      <c r="L21" s="4">
        <v>30</v>
      </c>
      <c r="M21" s="4" t="s">
        <v>748</v>
      </c>
      <c r="N21" s="4">
        <v>137</v>
      </c>
      <c r="O21" s="3">
        <v>0</v>
      </c>
    </row>
    <row r="22" spans="1:15" x14ac:dyDescent="0.25">
      <c r="A22" s="2" t="s">
        <v>881</v>
      </c>
      <c r="B22" s="4">
        <v>1.7</v>
      </c>
      <c r="C22" s="4" t="s">
        <v>860</v>
      </c>
      <c r="D22" s="4"/>
      <c r="E22" s="4"/>
      <c r="F22" s="4"/>
      <c r="G22" s="4" t="s">
        <v>873</v>
      </c>
      <c r="H22" s="4"/>
      <c r="I22" s="4">
        <v>213.98</v>
      </c>
      <c r="J22" s="4"/>
      <c r="K22" s="4"/>
      <c r="L22" s="4">
        <v>30</v>
      </c>
      <c r="M22" s="4" t="s">
        <v>748</v>
      </c>
      <c r="N22" s="4">
        <v>137</v>
      </c>
      <c r="O22" s="3">
        <v>0</v>
      </c>
    </row>
    <row r="23" spans="1:15" x14ac:dyDescent="0.25">
      <c r="A23" s="2" t="s">
        <v>882</v>
      </c>
      <c r="B23" s="4">
        <v>2</v>
      </c>
      <c r="C23" s="4" t="s">
        <v>860</v>
      </c>
      <c r="D23" s="4"/>
      <c r="E23" s="4"/>
      <c r="F23" s="4"/>
      <c r="G23" s="4" t="s">
        <v>873</v>
      </c>
      <c r="H23" s="4"/>
      <c r="I23" s="4">
        <v>213.98</v>
      </c>
      <c r="J23" s="4"/>
      <c r="K23" s="4"/>
      <c r="L23" s="4">
        <v>30</v>
      </c>
      <c r="M23" s="4" t="s">
        <v>748</v>
      </c>
      <c r="N23" s="4">
        <v>137</v>
      </c>
      <c r="O23" s="3">
        <v>0</v>
      </c>
    </row>
    <row r="24" spans="1:15" x14ac:dyDescent="0.25">
      <c r="A24" s="2" t="s">
        <v>883</v>
      </c>
      <c r="B24" s="4">
        <v>1.5</v>
      </c>
      <c r="C24" s="4" t="s">
        <v>860</v>
      </c>
      <c r="D24" s="4"/>
      <c r="E24" s="4"/>
      <c r="F24" s="4"/>
      <c r="G24" s="4" t="s">
        <v>873</v>
      </c>
      <c r="H24" s="4"/>
      <c r="I24" s="4">
        <v>213.98</v>
      </c>
      <c r="J24" s="4"/>
      <c r="K24" s="4"/>
      <c r="L24" s="4">
        <v>30</v>
      </c>
      <c r="M24" s="4" t="s">
        <v>748</v>
      </c>
      <c r="N24" s="4">
        <v>137</v>
      </c>
      <c r="O24" s="3">
        <v>0</v>
      </c>
    </row>
    <row r="25" spans="1:15" x14ac:dyDescent="0.25">
      <c r="A25" s="2" t="s">
        <v>884</v>
      </c>
      <c r="B25" s="4">
        <v>40.5</v>
      </c>
      <c r="C25" s="4" t="s">
        <v>842</v>
      </c>
      <c r="D25" s="4"/>
      <c r="E25" s="4"/>
      <c r="F25" s="4"/>
      <c r="G25" s="4" t="s">
        <v>885</v>
      </c>
      <c r="H25" s="4"/>
      <c r="I25" s="4"/>
      <c r="J25" s="4"/>
      <c r="K25" s="4"/>
      <c r="L25" s="4"/>
      <c r="M25" s="4" t="s">
        <v>748</v>
      </c>
      <c r="N25" s="4">
        <v>137</v>
      </c>
      <c r="O25" s="3">
        <f>=B25*(N25/100)*J25</f>
      </c>
    </row>
    <row r="26" spans="1:15" x14ac:dyDescent="0.25">
      <c r="A26" s="2" t="s">
        <v>886</v>
      </c>
      <c r="B26" s="4">
        <v>26</v>
      </c>
      <c r="C26" s="4" t="s">
        <v>842</v>
      </c>
      <c r="D26" s="4"/>
      <c r="E26" s="4"/>
      <c r="F26" s="4"/>
      <c r="G26" s="4" t="s">
        <v>887</v>
      </c>
      <c r="H26" s="4"/>
      <c r="I26" s="4"/>
      <c r="J26" s="4"/>
      <c r="K26" s="4"/>
      <c r="L26" s="4"/>
      <c r="M26" s="4" t="s">
        <v>748</v>
      </c>
      <c r="N26" s="4">
        <v>137</v>
      </c>
      <c r="O26" s="3">
        <f>=B26*(N26/100)*J26</f>
      </c>
    </row>
    <row r="27" spans="1:15" x14ac:dyDescent="0.25">
      <c r="A27" s="2" t="s">
        <v>888</v>
      </c>
      <c r="B27" s="4">
        <v>0</v>
      </c>
      <c r="C27" s="4" t="s">
        <v>842</v>
      </c>
      <c r="D27" s="4"/>
      <c r="E27" s="4"/>
      <c r="F27" s="4"/>
      <c r="G27" s="4" t="s">
        <v>889</v>
      </c>
      <c r="H27" s="4"/>
      <c r="I27" s="4"/>
      <c r="J27" s="4"/>
      <c r="K27" s="4"/>
      <c r="L27" s="4"/>
      <c r="M27" s="4" t="s">
        <v>748</v>
      </c>
      <c r="N27" s="4">
        <v>137</v>
      </c>
      <c r="O27" s="3">
        <f>=B27*(N27/100)*J27</f>
      </c>
    </row>
    <row r="28" spans="1:15" x14ac:dyDescent="0.25">
      <c r="A28" s="2" t="s">
        <v>890</v>
      </c>
      <c r="B28" s="4">
        <v>3</v>
      </c>
      <c r="C28" s="4" t="s">
        <v>842</v>
      </c>
      <c r="D28" s="4"/>
      <c r="E28" s="4"/>
      <c r="F28" s="4"/>
      <c r="G28" s="4" t="s">
        <v>869</v>
      </c>
      <c r="H28" s="4"/>
      <c r="I28" s="4"/>
      <c r="J28" s="4"/>
      <c r="K28" s="4"/>
      <c r="L28" s="4"/>
      <c r="M28" s="4" t="s">
        <v>748</v>
      </c>
      <c r="N28" s="4">
        <v>152</v>
      </c>
      <c r="O28" s="3">
        <f>=B28*(N28/100)*J28</f>
      </c>
    </row>
    <row r="29" spans="1:15" x14ac:dyDescent="0.25">
      <c r="A29" s="2" t="s">
        <v>891</v>
      </c>
      <c r="B29" s="4">
        <v>45</v>
      </c>
      <c r="C29" s="4" t="s">
        <v>842</v>
      </c>
      <c r="D29" s="4"/>
      <c r="E29" s="4"/>
      <c r="F29" s="4"/>
      <c r="G29" s="4" t="s">
        <v>843</v>
      </c>
      <c r="H29" s="4"/>
      <c r="I29" s="4"/>
      <c r="J29" s="4">
        <v>4.14</v>
      </c>
      <c r="K29" s="4"/>
      <c r="L29" s="4"/>
      <c r="M29" s="4" t="s">
        <v>748</v>
      </c>
      <c r="N29" s="4">
        <v>137</v>
      </c>
      <c r="O29" s="3">
        <f>=B29*(N29/100)*J29</f>
      </c>
    </row>
    <row r="30" spans="1:15" x14ac:dyDescent="0.25">
      <c r="A30" s="2" t="s">
        <v>892</v>
      </c>
      <c r="B30" s="4">
        <v>8</v>
      </c>
      <c r="C30" s="4" t="s">
        <v>842</v>
      </c>
      <c r="D30" s="4"/>
      <c r="E30" s="4"/>
      <c r="F30" s="4"/>
      <c r="G30" s="4" t="s">
        <v>845</v>
      </c>
      <c r="H30" s="4"/>
      <c r="I30" s="4"/>
      <c r="J30" s="4">
        <v>4.14</v>
      </c>
      <c r="K30" s="4"/>
      <c r="L30" s="4"/>
      <c r="M30" s="4" t="s">
        <v>748</v>
      </c>
      <c r="N30" s="4">
        <v>160</v>
      </c>
      <c r="O30" s="3">
        <f>=B30*(N30/100)*J30</f>
      </c>
    </row>
    <row r="31" spans="1:15" x14ac:dyDescent="0.25">
      <c r="A31" s="2" t="s">
        <v>893</v>
      </c>
      <c r="B31" s="4">
        <v>7</v>
      </c>
      <c r="C31" s="4" t="s">
        <v>842</v>
      </c>
      <c r="D31" s="4"/>
      <c r="E31" s="4"/>
      <c r="F31" s="4"/>
      <c r="G31" s="4" t="s">
        <v>845</v>
      </c>
      <c r="H31" s="4"/>
      <c r="I31" s="4"/>
      <c r="J31" s="4">
        <v>4.14</v>
      </c>
      <c r="K31" s="4"/>
      <c r="L31" s="4"/>
      <c r="M31" s="4" t="s">
        <v>748</v>
      </c>
      <c r="N31" s="4">
        <v>160</v>
      </c>
      <c r="O31" s="3">
        <f>=B31*(N31/100)*J31</f>
      </c>
    </row>
    <row r="32" spans="1:15" x14ac:dyDescent="0.25">
      <c r="A32" s="2" t="s">
        <v>894</v>
      </c>
      <c r="B32" s="4">
        <v>3</v>
      </c>
      <c r="C32" s="4"/>
      <c r="D32" s="4">
        <v>0</v>
      </c>
      <c r="E32" s="4" t="s">
        <v>103</v>
      </c>
      <c r="F32" s="4">
        <v>0</v>
      </c>
      <c r="G32" s="4" t="s">
        <v>895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103</v>
      </c>
      <c r="N32" s="4">
        <v>0</v>
      </c>
      <c r="O32" s="3">
        <f>=0</f>
      </c>
    </row>
    <row r="33" spans="1:15" x14ac:dyDescent="0.25">
      <c r="A33" s="2" t="s">
        <v>896</v>
      </c>
      <c r="B33" s="4">
        <v>5</v>
      </c>
      <c r="C33" s="4"/>
      <c r="D33" s="4">
        <v>0</v>
      </c>
      <c r="E33" s="4" t="s">
        <v>103</v>
      </c>
      <c r="F33" s="4">
        <v>0</v>
      </c>
      <c r="G33" s="4" t="s">
        <v>897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103</v>
      </c>
      <c r="N33" s="4">
        <v>0</v>
      </c>
      <c r="O33" s="3">
        <f>=0</f>
      </c>
    </row>
    <row r="34" spans="1:15" x14ac:dyDescent="0.25">
      <c r="A34" s="2" t="s">
        <v>898</v>
      </c>
      <c r="B34" s="4">
        <v>50</v>
      </c>
      <c r="C34" s="4"/>
      <c r="D34" s="4">
        <v>0</v>
      </c>
      <c r="E34" s="4" t="s">
        <v>103</v>
      </c>
      <c r="F34" s="4">
        <v>0</v>
      </c>
      <c r="G34" s="4" t="s">
        <v>843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103</v>
      </c>
      <c r="N34" s="4">
        <v>0</v>
      </c>
      <c r="O34" s="3">
        <f>=0</f>
      </c>
    </row>
    <row r="35" spans="1:15" x14ac:dyDescent="0.25">
      <c r="A35" s="2" t="s">
        <v>899</v>
      </c>
      <c r="B35" s="4">
        <v>9</v>
      </c>
      <c r="C35" s="4"/>
      <c r="D35" s="4">
        <v>0</v>
      </c>
      <c r="E35" s="4" t="s">
        <v>103</v>
      </c>
      <c r="F35" s="4">
        <v>0</v>
      </c>
      <c r="G35" s="4" t="s">
        <v>900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103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901</v>
      </c>
      <c r="B2" s="4">
        <v>0</v>
      </c>
      <c r="C2" s="4" t="s">
        <v>746</v>
      </c>
      <c r="D2" s="4"/>
      <c r="E2" s="4"/>
      <c r="F2" s="4"/>
      <c r="G2" s="4" t="s">
        <v>902</v>
      </c>
      <c r="H2" s="4">
        <v>0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903</v>
      </c>
      <c r="B3" s="4">
        <v>0</v>
      </c>
      <c r="C3" s="4" t="s">
        <v>746</v>
      </c>
      <c r="D3" s="4"/>
      <c r="E3" s="4"/>
      <c r="F3" s="4"/>
      <c r="G3" s="4" t="s">
        <v>904</v>
      </c>
      <c r="H3" s="4">
        <v>29.49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905</v>
      </c>
      <c r="B4" s="4">
        <v>0</v>
      </c>
      <c r="C4" s="4" t="s">
        <v>746</v>
      </c>
      <c r="D4" s="4"/>
      <c r="E4" s="4"/>
      <c r="F4" s="4"/>
      <c r="G4" s="4" t="s">
        <v>906</v>
      </c>
      <c r="H4" s="4">
        <v>29.49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907</v>
      </c>
      <c r="B5" s="4">
        <v>0</v>
      </c>
      <c r="C5" s="4" t="s">
        <v>746</v>
      </c>
      <c r="D5" s="4"/>
      <c r="E5" s="4"/>
      <c r="F5" s="4"/>
      <c r="G5" s="4" t="s">
        <v>908</v>
      </c>
      <c r="H5" s="4">
        <v>29.49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909</v>
      </c>
      <c r="B6" s="4">
        <v>3.9</v>
      </c>
      <c r="C6" s="4" t="s">
        <v>746</v>
      </c>
      <c r="D6" s="4"/>
      <c r="E6" s="4"/>
      <c r="F6" s="4"/>
      <c r="G6" s="4" t="s">
        <v>910</v>
      </c>
      <c r="H6" s="4">
        <v>29.49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911</v>
      </c>
      <c r="B7" s="4">
        <v>1.09</v>
      </c>
      <c r="C7" s="4" t="s">
        <v>746</v>
      </c>
      <c r="D7" s="4"/>
      <c r="E7" s="4"/>
      <c r="F7" s="4"/>
      <c r="G7" s="4" t="s">
        <v>910</v>
      </c>
      <c r="H7" s="4">
        <v>29.49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912</v>
      </c>
      <c r="B8" s="4">
        <v>1.96</v>
      </c>
      <c r="C8" s="4" t="s">
        <v>746</v>
      </c>
      <c r="D8" s="4"/>
      <c r="E8" s="4"/>
      <c r="F8" s="4"/>
      <c r="G8" s="4" t="s">
        <v>910</v>
      </c>
      <c r="H8" s="4">
        <v>29.49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913</v>
      </c>
      <c r="B9" s="4">
        <v>3.47</v>
      </c>
      <c r="C9" s="4" t="s">
        <v>746</v>
      </c>
      <c r="D9" s="4"/>
      <c r="E9" s="4"/>
      <c r="F9" s="4"/>
      <c r="G9" s="4" t="s">
        <v>910</v>
      </c>
      <c r="H9" s="4">
        <v>29.49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914</v>
      </c>
      <c r="B10" s="4">
        <v>0</v>
      </c>
      <c r="C10" s="4" t="s">
        <v>746</v>
      </c>
      <c r="D10" s="4"/>
      <c r="E10" s="4"/>
      <c r="F10" s="4"/>
      <c r="G10" s="4" t="s">
        <v>915</v>
      </c>
      <c r="H10" s="4">
        <v>29.49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916</v>
      </c>
      <c r="B11" s="4">
        <v>0</v>
      </c>
      <c r="C11" s="4" t="s">
        <v>746</v>
      </c>
      <c r="D11" s="4"/>
      <c r="E11" s="4"/>
      <c r="F11" s="4"/>
      <c r="G11" s="4" t="s">
        <v>917</v>
      </c>
      <c r="H11" s="4">
        <v>29.49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918</v>
      </c>
      <c r="B12" s="4">
        <v>0</v>
      </c>
      <c r="C12" s="4" t="s">
        <v>746</v>
      </c>
      <c r="D12" s="4"/>
      <c r="E12" s="4"/>
      <c r="F12" s="4"/>
      <c r="G12" s="4" t="s">
        <v>919</v>
      </c>
      <c r="H12" s="4">
        <v>29.49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920</v>
      </c>
      <c r="B13" s="4">
        <v>0</v>
      </c>
      <c r="C13" s="4" t="s">
        <v>746</v>
      </c>
      <c r="D13" s="4"/>
      <c r="E13" s="4"/>
      <c r="F13" s="4"/>
      <c r="G13" s="4" t="s">
        <v>921</v>
      </c>
      <c r="H13" s="4">
        <v>29.49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922</v>
      </c>
      <c r="B14" s="4">
        <v>0</v>
      </c>
      <c r="C14" s="4" t="s">
        <v>746</v>
      </c>
      <c r="D14" s="4"/>
      <c r="E14" s="4"/>
      <c r="F14" s="4"/>
      <c r="G14" s="4" t="s">
        <v>923</v>
      </c>
      <c r="H14" s="4">
        <v>29.49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924</v>
      </c>
      <c r="B15" s="4">
        <v>10</v>
      </c>
      <c r="C15" s="4" t="s">
        <v>746</v>
      </c>
      <c r="D15" s="4"/>
      <c r="E15" s="4"/>
      <c r="F15" s="4"/>
      <c r="G15" s="4" t="s">
        <v>925</v>
      </c>
      <c r="H15" s="4">
        <v>29.49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926</v>
      </c>
      <c r="B16" s="4">
        <v>0</v>
      </c>
      <c r="C16" s="4" t="s">
        <v>746</v>
      </c>
      <c r="D16" s="4"/>
      <c r="E16" s="4"/>
      <c r="F16" s="4"/>
      <c r="G16" s="4" t="s">
        <v>927</v>
      </c>
      <c r="H16" s="4">
        <v>29.49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928</v>
      </c>
      <c r="B17" s="4">
        <v>1.68</v>
      </c>
      <c r="C17" s="4" t="s">
        <v>746</v>
      </c>
      <c r="D17" s="4"/>
      <c r="E17" s="4" t="s">
        <v>929</v>
      </c>
      <c r="F17" s="4"/>
      <c r="G17" s="4" t="s">
        <v>930</v>
      </c>
      <c r="H17" s="4">
        <v>29.19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931</v>
      </c>
      <c r="B18" s="4">
        <v>0</v>
      </c>
      <c r="C18" s="4" t="s">
        <v>746</v>
      </c>
      <c r="D18" s="4"/>
      <c r="E18" s="4"/>
      <c r="F18" s="4"/>
      <c r="G18" s="4" t="s">
        <v>930</v>
      </c>
      <c r="H18" s="4">
        <v>29.49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932</v>
      </c>
      <c r="B19" s="4">
        <v>0</v>
      </c>
      <c r="C19" s="4" t="s">
        <v>746</v>
      </c>
      <c r="D19" s="4"/>
      <c r="E19" s="4"/>
      <c r="F19" s="4"/>
      <c r="G19" s="4" t="s">
        <v>930</v>
      </c>
      <c r="H19" s="4">
        <v>29.49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933</v>
      </c>
      <c r="B20" s="4">
        <v>0</v>
      </c>
      <c r="C20" s="4" t="s">
        <v>746</v>
      </c>
      <c r="D20" s="4"/>
      <c r="E20" s="4"/>
      <c r="F20" s="4"/>
      <c r="G20" s="4" t="s">
        <v>930</v>
      </c>
      <c r="H20" s="4">
        <v>29.49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934</v>
      </c>
      <c r="B21" s="4">
        <v>0</v>
      </c>
      <c r="C21" s="4" t="s">
        <v>746</v>
      </c>
      <c r="D21" s="4"/>
      <c r="E21" s="4"/>
      <c r="F21" s="4"/>
      <c r="G21" s="4" t="s">
        <v>935</v>
      </c>
      <c r="H21" s="4">
        <v>29.49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936</v>
      </c>
      <c r="B22" s="4">
        <v>2.02</v>
      </c>
      <c r="C22" s="4" t="s">
        <v>746</v>
      </c>
      <c r="D22" s="4"/>
      <c r="E22" s="4"/>
      <c r="F22" s="4"/>
      <c r="G22" s="4" t="s">
        <v>937</v>
      </c>
      <c r="H22" s="4">
        <v>29.49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 t="s">
        <v>938</v>
      </c>
      <c r="B23" s="4">
        <v>0</v>
      </c>
      <c r="C23" s="4" t="s">
        <v>746</v>
      </c>
      <c r="D23" s="4"/>
      <c r="E23" s="4"/>
      <c r="F23" s="4"/>
      <c r="G23" s="4" t="s">
        <v>939</v>
      </c>
      <c r="H23" s="4">
        <v>121.89</v>
      </c>
      <c r="I23" s="4"/>
      <c r="J23" s="4"/>
      <c r="K23" s="4"/>
      <c r="L23" s="4"/>
      <c r="M23" s="4" t="s">
        <v>748</v>
      </c>
      <c r="N23" s="4"/>
      <c r="O23" s="3">
        <f>=B23*H23</f>
      </c>
    </row>
    <row r="24" spans="1:15" x14ac:dyDescent="0.25">
      <c r="A24" s="2" t="s">
        <v>940</v>
      </c>
      <c r="B24" s="4">
        <v>0</v>
      </c>
      <c r="C24" s="4" t="s">
        <v>746</v>
      </c>
      <c r="D24" s="4"/>
      <c r="E24" s="4"/>
      <c r="F24" s="4"/>
      <c r="G24" s="4" t="s">
        <v>939</v>
      </c>
      <c r="H24" s="4">
        <v>121.89</v>
      </c>
      <c r="I24" s="4"/>
      <c r="J24" s="4"/>
      <c r="K24" s="4"/>
      <c r="L24" s="4"/>
      <c r="M24" s="4" t="s">
        <v>748</v>
      </c>
      <c r="N24" s="4"/>
      <c r="O24" s="3">
        <f>=B24*H24</f>
      </c>
    </row>
    <row r="25" spans="1:15" x14ac:dyDescent="0.25">
      <c r="A25" s="2" t="s">
        <v>941</v>
      </c>
      <c r="B25" s="4">
        <v>0</v>
      </c>
      <c r="C25" s="4" t="s">
        <v>746</v>
      </c>
      <c r="D25" s="4"/>
      <c r="E25" s="4"/>
      <c r="F25" s="4"/>
      <c r="G25" s="4" t="s">
        <v>942</v>
      </c>
      <c r="H25" s="4">
        <v>29.49</v>
      </c>
      <c r="I25" s="4"/>
      <c r="J25" s="4"/>
      <c r="K25" s="4"/>
      <c r="L25" s="4"/>
      <c r="M25" s="4" t="s">
        <v>748</v>
      </c>
      <c r="N25" s="4"/>
      <c r="O25" s="3">
        <f>=B25*H25</f>
      </c>
    </row>
    <row r="26" spans="1:15" x14ac:dyDescent="0.25">
      <c r="A26" s="2" t="s">
        <v>943</v>
      </c>
      <c r="B26" s="4">
        <v>0</v>
      </c>
      <c r="C26" s="4" t="s">
        <v>746</v>
      </c>
      <c r="D26" s="4"/>
      <c r="E26" s="4"/>
      <c r="F26" s="4"/>
      <c r="G26" s="4" t="s">
        <v>944</v>
      </c>
      <c r="H26" s="4">
        <v>52.63</v>
      </c>
      <c r="I26" s="4"/>
      <c r="J26" s="4"/>
      <c r="K26" s="4"/>
      <c r="L26" s="4"/>
      <c r="M26" s="4" t="s">
        <v>748</v>
      </c>
      <c r="N26" s="4"/>
      <c r="O26" s="3">
        <f>=B26*H26</f>
      </c>
    </row>
    <row r="27" spans="1:15" x14ac:dyDescent="0.25">
      <c r="A27" s="2" t="s">
        <v>945</v>
      </c>
      <c r="B27" s="4">
        <v>3.5</v>
      </c>
      <c r="C27" s="4" t="s">
        <v>746</v>
      </c>
      <c r="D27" s="4"/>
      <c r="E27" s="4"/>
      <c r="F27" s="4"/>
      <c r="G27" s="4" t="s">
        <v>946</v>
      </c>
      <c r="H27" s="4">
        <v>81.55</v>
      </c>
      <c r="I27" s="4"/>
      <c r="J27" s="4"/>
      <c r="K27" s="4"/>
      <c r="L27" s="4"/>
      <c r="M27" s="4" t="s">
        <v>748</v>
      </c>
      <c r="N27" s="4"/>
      <c r="O27" s="3">
        <f>=B27*H27</f>
      </c>
    </row>
    <row r="28" spans="1:15" x14ac:dyDescent="0.25">
      <c r="A28" s="2" t="s">
        <v>947</v>
      </c>
      <c r="B28" s="4">
        <v>5</v>
      </c>
      <c r="C28" s="4" t="s">
        <v>746</v>
      </c>
      <c r="D28" s="4"/>
      <c r="E28" s="4"/>
      <c r="F28" s="4"/>
      <c r="G28" s="4" t="s">
        <v>948</v>
      </c>
      <c r="H28" s="4">
        <v>81.55</v>
      </c>
      <c r="I28" s="4"/>
      <c r="J28" s="4"/>
      <c r="K28" s="4"/>
      <c r="L28" s="4"/>
      <c r="M28" s="4" t="s">
        <v>748</v>
      </c>
      <c r="N28" s="4"/>
      <c r="O28" s="3">
        <f>=B28*H28</f>
      </c>
    </row>
    <row r="29" spans="1:15" x14ac:dyDescent="0.25">
      <c r="A29" s="2" t="s">
        <v>949</v>
      </c>
      <c r="B29" s="4">
        <v>0</v>
      </c>
      <c r="C29" s="4" t="s">
        <v>746</v>
      </c>
      <c r="D29" s="4"/>
      <c r="E29" s="4"/>
      <c r="F29" s="4"/>
      <c r="G29" s="4" t="s">
        <v>950</v>
      </c>
      <c r="H29" s="4">
        <v>81.55</v>
      </c>
      <c r="I29" s="4"/>
      <c r="J29" s="4"/>
      <c r="K29" s="4"/>
      <c r="L29" s="4"/>
      <c r="M29" s="4" t="s">
        <v>748</v>
      </c>
      <c r="N29" s="4"/>
      <c r="O29" s="3">
        <f>=B29*H29</f>
      </c>
    </row>
    <row r="30" spans="1:15" x14ac:dyDescent="0.25">
      <c r="A30" s="2" t="s">
        <v>951</v>
      </c>
      <c r="B30" s="4">
        <v>1.53</v>
      </c>
      <c r="C30" s="4" t="s">
        <v>746</v>
      </c>
      <c r="D30" s="4"/>
      <c r="E30" s="4"/>
      <c r="F30" s="4"/>
      <c r="G30" s="4" t="s">
        <v>952</v>
      </c>
      <c r="H30" s="4">
        <v>81.55</v>
      </c>
      <c r="I30" s="4"/>
      <c r="J30" s="4"/>
      <c r="K30" s="4"/>
      <c r="L30" s="4"/>
      <c r="M30" s="4" t="s">
        <v>748</v>
      </c>
      <c r="N30" s="4"/>
      <c r="O30" s="3">
        <f>=B30*H30</f>
      </c>
    </row>
    <row r="31" spans="1:15" x14ac:dyDescent="0.25">
      <c r="A31" s="2" t="s">
        <v>953</v>
      </c>
      <c r="B31" s="4">
        <v>2</v>
      </c>
      <c r="C31" s="4" t="s">
        <v>746</v>
      </c>
      <c r="D31" s="4"/>
      <c r="E31" s="4"/>
      <c r="F31" s="4"/>
      <c r="G31" s="4" t="s">
        <v>954</v>
      </c>
      <c r="H31" s="4">
        <v>17.93</v>
      </c>
      <c r="I31" s="4"/>
      <c r="J31" s="4"/>
      <c r="K31" s="4"/>
      <c r="L31" s="4"/>
      <c r="M31" s="4" t="s">
        <v>748</v>
      </c>
      <c r="N31" s="4"/>
      <c r="O31" s="3">
        <f>=B31*H31</f>
      </c>
    </row>
    <row r="32" spans="1:15" x14ac:dyDescent="0.25">
      <c r="A32" s="2" t="s">
        <v>955</v>
      </c>
      <c r="B32" s="4">
        <v>0</v>
      </c>
      <c r="C32" s="4" t="s">
        <v>746</v>
      </c>
      <c r="D32" s="4"/>
      <c r="E32" s="4"/>
      <c r="F32" s="4"/>
      <c r="G32" s="4" t="s">
        <v>956</v>
      </c>
      <c r="H32" s="4">
        <v>0</v>
      </c>
      <c r="I32" s="4"/>
      <c r="J32" s="4"/>
      <c r="K32" s="4"/>
      <c r="L32" s="4"/>
      <c r="M32" s="4" t="s">
        <v>748</v>
      </c>
      <c r="N32" s="4"/>
      <c r="O32" s="3">
        <f>=B32*H32</f>
      </c>
    </row>
    <row r="33" spans="1:15" x14ac:dyDescent="0.25">
      <c r="A33" s="2" t="s">
        <v>957</v>
      </c>
      <c r="B33" s="4">
        <v>20</v>
      </c>
      <c r="C33" s="4" t="s">
        <v>746</v>
      </c>
      <c r="D33" s="4"/>
      <c r="E33" s="4"/>
      <c r="F33" s="4"/>
      <c r="G33" s="4" t="s">
        <v>958</v>
      </c>
      <c r="H33" s="4">
        <v>0</v>
      </c>
      <c r="I33" s="4"/>
      <c r="J33" s="4"/>
      <c r="K33" s="4"/>
      <c r="L33" s="4"/>
      <c r="M33" s="4" t="s">
        <v>748</v>
      </c>
      <c r="N33" s="4"/>
      <c r="O33" s="3">
        <f>=B33*H33</f>
      </c>
    </row>
    <row r="34" spans="1:15" x14ac:dyDescent="0.25">
      <c r="A34" s="2" t="s">
        <v>959</v>
      </c>
      <c r="B34" s="4">
        <v>0.9</v>
      </c>
      <c r="C34" s="4"/>
      <c r="D34" s="4">
        <v>0</v>
      </c>
      <c r="E34" s="4" t="s">
        <v>103</v>
      </c>
      <c r="F34" s="4">
        <v>0</v>
      </c>
      <c r="G34" s="4" t="s">
        <v>960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766</v>
      </c>
      <c r="N34" s="4">
        <v>0</v>
      </c>
      <c r="O34" s="3">
        <f>=0</f>
      </c>
    </row>
    <row r="35" spans="1:15" x14ac:dyDescent="0.25">
      <c r="A35" s="2" t="s">
        <v>961</v>
      </c>
      <c r="B35" s="4">
        <v>3.02</v>
      </c>
      <c r="C35" s="4"/>
      <c r="D35" s="4">
        <v>0</v>
      </c>
      <c r="E35" s="4" t="s">
        <v>103</v>
      </c>
      <c r="F35" s="4">
        <v>0</v>
      </c>
      <c r="G35" s="4" t="s">
        <v>925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766</v>
      </c>
      <c r="N35" s="4">
        <v>0</v>
      </c>
      <c r="O35" s="3">
        <f>=0</f>
      </c>
    </row>
    <row r="36" spans="1:15" x14ac:dyDescent="0.25">
      <c r="A36" s="2" t="s">
        <v>962</v>
      </c>
      <c r="B36" s="4">
        <v>4.81</v>
      </c>
      <c r="C36" s="4"/>
      <c r="D36" s="4">
        <v>0</v>
      </c>
      <c r="E36" s="4" t="s">
        <v>103</v>
      </c>
      <c r="F36" s="4">
        <v>0</v>
      </c>
      <c r="G36" s="4" t="s">
        <v>963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766</v>
      </c>
      <c r="N36" s="4">
        <v>0</v>
      </c>
      <c r="O36" s="3">
        <f>=0</f>
      </c>
    </row>
    <row r="37" spans="1:15" x14ac:dyDescent="0.25">
      <c r="A37" s="2" t="s">
        <v>964</v>
      </c>
      <c r="B37" s="4">
        <v>3.02</v>
      </c>
      <c r="C37" s="4"/>
      <c r="D37" s="4">
        <v>0</v>
      </c>
      <c r="E37" s="4" t="s">
        <v>103</v>
      </c>
      <c r="F37" s="4">
        <v>0</v>
      </c>
      <c r="G37" s="4" t="s">
        <v>965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766</v>
      </c>
      <c r="N37" s="4">
        <v>0</v>
      </c>
      <c r="O37" s="3">
        <f>=0</f>
      </c>
    </row>
    <row r="38" spans="1:15" x14ac:dyDescent="0.25">
      <c r="A38" s="2" t="s">
        <v>966</v>
      </c>
      <c r="B38" s="4">
        <v>2.67</v>
      </c>
      <c r="C38" s="4"/>
      <c r="D38" s="4">
        <v>0</v>
      </c>
      <c r="E38" s="4" t="s">
        <v>103</v>
      </c>
      <c r="F38" s="4">
        <v>0</v>
      </c>
      <c r="G38" s="4" t="s">
        <v>967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766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968</v>
      </c>
      <c r="B2" s="4">
        <v>4</v>
      </c>
      <c r="C2" s="4" t="s">
        <v>16</v>
      </c>
      <c r="D2" s="4"/>
      <c r="E2" s="4"/>
      <c r="F2" s="4"/>
      <c r="G2" s="4" t="s">
        <v>969</v>
      </c>
      <c r="H2" s="4"/>
      <c r="I2" s="4">
        <v>14.65</v>
      </c>
      <c r="J2" s="4"/>
      <c r="K2" s="4"/>
      <c r="L2" s="4"/>
      <c r="M2" s="4" t="s">
        <v>970</v>
      </c>
      <c r="N2" s="4"/>
      <c r="O2" s="3">
        <f>=B2*I2</f>
      </c>
    </row>
    <row r="3" spans="1:15" x14ac:dyDescent="0.25">
      <c r="A3" s="2" t="s">
        <v>971</v>
      </c>
      <c r="B3" s="4">
        <v>9</v>
      </c>
      <c r="C3" s="4" t="s">
        <v>16</v>
      </c>
      <c r="D3" s="4"/>
      <c r="E3" s="4"/>
      <c r="F3" s="4"/>
      <c r="G3" s="4" t="s">
        <v>972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973</v>
      </c>
      <c r="B4" s="4">
        <v>32</v>
      </c>
      <c r="C4" s="4" t="s">
        <v>16</v>
      </c>
      <c r="D4" s="4"/>
      <c r="E4" s="4" t="s">
        <v>103</v>
      </c>
      <c r="F4" s="4"/>
      <c r="G4" s="4" t="s">
        <v>974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975</v>
      </c>
      <c r="B5" s="4">
        <v>9</v>
      </c>
      <c r="C5" s="4" t="s">
        <v>16</v>
      </c>
      <c r="D5" s="4"/>
      <c r="E5" s="4"/>
      <c r="F5" s="4"/>
      <c r="G5" s="4" t="s">
        <v>976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977</v>
      </c>
      <c r="B6" s="4">
        <v>26</v>
      </c>
      <c r="C6" s="4" t="s">
        <v>16</v>
      </c>
      <c r="D6" s="4"/>
      <c r="E6" s="4"/>
      <c r="F6" s="4"/>
      <c r="G6" s="4" t="s">
        <v>978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979</v>
      </c>
      <c r="B7" s="4">
        <v>26</v>
      </c>
      <c r="C7" s="4" t="s">
        <v>16</v>
      </c>
      <c r="D7" s="4"/>
      <c r="E7" s="4" t="s">
        <v>103</v>
      </c>
      <c r="F7" s="4"/>
      <c r="G7" s="4" t="s">
        <v>980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981</v>
      </c>
      <c r="B8" s="4">
        <v>5</v>
      </c>
      <c r="C8" s="4"/>
      <c r="D8" s="4">
        <v>0</v>
      </c>
      <c r="E8" s="4" t="s">
        <v>103</v>
      </c>
      <c r="F8" s="4">
        <v>0</v>
      </c>
      <c r="G8" s="4" t="s">
        <v>982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983</v>
      </c>
      <c r="B2" s="4">
        <v>2</v>
      </c>
      <c r="C2" s="4" t="s">
        <v>746</v>
      </c>
      <c r="D2" s="4"/>
      <c r="E2" s="4"/>
      <c r="F2" s="4"/>
      <c r="G2" s="4" t="s">
        <v>984</v>
      </c>
      <c r="H2" s="4">
        <v>10.55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985</v>
      </c>
      <c r="B3" s="4">
        <v>0</v>
      </c>
      <c r="C3" s="4" t="s">
        <v>746</v>
      </c>
      <c r="D3" s="4"/>
      <c r="E3" s="4"/>
      <c r="F3" s="4"/>
      <c r="G3" s="4" t="s">
        <v>984</v>
      </c>
      <c r="H3" s="4">
        <v>10.55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986</v>
      </c>
      <c r="B4" s="4">
        <v>1.3</v>
      </c>
      <c r="C4" s="4" t="s">
        <v>746</v>
      </c>
      <c r="D4" s="4"/>
      <c r="E4" s="4"/>
      <c r="F4" s="4"/>
      <c r="G4" s="4" t="s">
        <v>987</v>
      </c>
      <c r="H4" s="4">
        <v>10.55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988</v>
      </c>
      <c r="B2" s="4">
        <v>4</v>
      </c>
      <c r="C2" s="4" t="s">
        <v>16</v>
      </c>
      <c r="D2" s="4"/>
      <c r="E2" s="4" t="s">
        <v>989</v>
      </c>
      <c r="F2" s="4"/>
      <c r="G2" s="4" t="s">
        <v>990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991</v>
      </c>
      <c r="B3" s="4">
        <v>1</v>
      </c>
      <c r="C3" s="4" t="s">
        <v>16</v>
      </c>
      <c r="D3" s="4"/>
      <c r="E3" s="4" t="s">
        <v>992</v>
      </c>
      <c r="F3" s="4"/>
      <c r="G3" s="4" t="s">
        <v>993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994</v>
      </c>
      <c r="B4" s="4">
        <v>6</v>
      </c>
      <c r="C4" s="4" t="s">
        <v>16</v>
      </c>
      <c r="D4" s="4"/>
      <c r="E4" s="4" t="s">
        <v>995</v>
      </c>
      <c r="F4" s="4"/>
      <c r="G4" s="4" t="s">
        <v>993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996</v>
      </c>
      <c r="B5" s="4">
        <v>1</v>
      </c>
      <c r="C5" s="4" t="s">
        <v>16</v>
      </c>
      <c r="D5" s="4"/>
      <c r="E5" s="4" t="s">
        <v>997</v>
      </c>
      <c r="F5" s="4"/>
      <c r="G5" s="4" t="s">
        <v>993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998</v>
      </c>
      <c r="B6" s="4">
        <v>6</v>
      </c>
      <c r="C6" s="4" t="s">
        <v>16</v>
      </c>
      <c r="D6" s="4"/>
      <c r="E6" s="4"/>
      <c r="F6" s="4"/>
      <c r="G6" s="4" t="s">
        <v>999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1000</v>
      </c>
      <c r="B7" s="4">
        <v>0</v>
      </c>
      <c r="C7" s="4" t="s">
        <v>16</v>
      </c>
      <c r="D7" s="4"/>
      <c r="E7" s="4"/>
      <c r="F7" s="4"/>
      <c r="G7" s="4" t="s">
        <v>1001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1002</v>
      </c>
      <c r="B8" s="4">
        <v>2</v>
      </c>
      <c r="C8" s="4" t="s">
        <v>16</v>
      </c>
      <c r="D8" s="4"/>
      <c r="E8" s="4"/>
      <c r="F8" s="4"/>
      <c r="G8" s="4" t="s">
        <v>1003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1004</v>
      </c>
      <c r="B9" s="4">
        <v>1</v>
      </c>
      <c r="C9" s="4" t="s">
        <v>16</v>
      </c>
      <c r="D9" s="4"/>
      <c r="E9" s="4"/>
      <c r="F9" s="4"/>
      <c r="G9" s="4" t="s">
        <v>1005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1006</v>
      </c>
      <c r="B10" s="4">
        <v>13</v>
      </c>
      <c r="C10" s="4" t="s">
        <v>16</v>
      </c>
      <c r="D10" s="4"/>
      <c r="E10" s="4"/>
      <c r="F10" s="4"/>
      <c r="G10" s="4" t="s">
        <v>1007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1008</v>
      </c>
      <c r="B11" s="4">
        <v>2</v>
      </c>
      <c r="C11" s="4" t="s">
        <v>16</v>
      </c>
      <c r="D11" s="4"/>
      <c r="E11" s="4"/>
      <c r="F11" s="4"/>
      <c r="G11" s="4" t="s">
        <v>1009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1010</v>
      </c>
      <c r="B12" s="4">
        <v>0</v>
      </c>
      <c r="C12" s="4" t="s">
        <v>16</v>
      </c>
      <c r="D12" s="4"/>
      <c r="E12" s="4" t="s">
        <v>103</v>
      </c>
      <c r="F12" s="4"/>
      <c r="G12" s="4" t="s">
        <v>1011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1012</v>
      </c>
      <c r="B2" s="4">
        <v>4.5</v>
      </c>
      <c r="C2" s="4" t="s">
        <v>746</v>
      </c>
      <c r="D2" s="4"/>
      <c r="E2" s="4" t="s">
        <v>1013</v>
      </c>
      <c r="F2" s="4"/>
      <c r="G2" s="4" t="s">
        <v>1014</v>
      </c>
      <c r="H2" s="4"/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1015</v>
      </c>
      <c r="B3" s="4"/>
      <c r="C3" s="4" t="s">
        <v>746</v>
      </c>
      <c r="D3" s="4"/>
      <c r="E3" s="4"/>
      <c r="F3" s="4"/>
      <c r="G3" s="4" t="s">
        <v>1014</v>
      </c>
      <c r="H3" s="4"/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1016</v>
      </c>
      <c r="B4" s="4">
        <v>0</v>
      </c>
      <c r="C4" s="4" t="s">
        <v>746</v>
      </c>
      <c r="D4" s="4"/>
      <c r="E4" s="4"/>
      <c r="F4" s="4"/>
      <c r="G4" s="4" t="s">
        <v>1017</v>
      </c>
      <c r="H4" s="4">
        <v>14.17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1018</v>
      </c>
      <c r="B5" s="4">
        <v>0</v>
      </c>
      <c r="C5" s="4" t="s">
        <v>746</v>
      </c>
      <c r="D5" s="4"/>
      <c r="E5" s="4"/>
      <c r="F5" s="4"/>
      <c r="G5" s="4" t="s">
        <v>1017</v>
      </c>
      <c r="H5" s="4">
        <v>14.17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1019</v>
      </c>
      <c r="B6" s="4">
        <v>2</v>
      </c>
      <c r="C6" s="4" t="s">
        <v>746</v>
      </c>
      <c r="D6" s="4"/>
      <c r="E6" s="4" t="s">
        <v>1013</v>
      </c>
      <c r="F6" s="4"/>
      <c r="G6" s="4" t="s">
        <v>1020</v>
      </c>
      <c r="H6" s="4">
        <v>4.66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1021</v>
      </c>
      <c r="B7" s="4">
        <v>30</v>
      </c>
      <c r="C7" s="4" t="s">
        <v>746</v>
      </c>
      <c r="D7" s="4"/>
      <c r="E7" s="4" t="s">
        <v>1013</v>
      </c>
      <c r="F7" s="4"/>
      <c r="G7" s="4" t="s">
        <v>1020</v>
      </c>
      <c r="H7" s="4">
        <v>4.66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1022</v>
      </c>
      <c r="B8" s="4">
        <v>0</v>
      </c>
      <c r="C8" s="4" t="s">
        <v>746</v>
      </c>
      <c r="D8" s="4"/>
      <c r="E8" s="4"/>
      <c r="F8" s="4"/>
      <c r="G8" s="4" t="s">
        <v>1020</v>
      </c>
      <c r="H8" s="4">
        <v>4.66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1023</v>
      </c>
      <c r="B9" s="4">
        <v>0</v>
      </c>
      <c r="C9" s="4" t="s">
        <v>746</v>
      </c>
      <c r="D9" s="4"/>
      <c r="E9" s="4"/>
      <c r="F9" s="4"/>
      <c r="G9" s="4" t="s">
        <v>1020</v>
      </c>
      <c r="H9" s="4">
        <v>4.66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1024</v>
      </c>
      <c r="B10" s="4">
        <v>0</v>
      </c>
      <c r="C10" s="4" t="s">
        <v>746</v>
      </c>
      <c r="D10" s="4"/>
      <c r="E10" s="4"/>
      <c r="F10" s="4"/>
      <c r="G10" s="4" t="s">
        <v>1020</v>
      </c>
      <c r="H10" s="4">
        <v>4.66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1025</v>
      </c>
      <c r="B11" s="4">
        <v>10</v>
      </c>
      <c r="C11" s="4" t="s">
        <v>746</v>
      </c>
      <c r="D11" s="4"/>
      <c r="E11" s="4" t="s">
        <v>929</v>
      </c>
      <c r="F11" s="4"/>
      <c r="G11" s="4" t="s">
        <v>1026</v>
      </c>
      <c r="H11" s="4">
        <v>5.45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1027</v>
      </c>
      <c r="B12" s="4">
        <v>2.24</v>
      </c>
      <c r="C12" s="4" t="s">
        <v>746</v>
      </c>
      <c r="D12" s="4"/>
      <c r="E12" s="4" t="s">
        <v>929</v>
      </c>
      <c r="F12" s="4"/>
      <c r="G12" s="4" t="s">
        <v>1026</v>
      </c>
      <c r="H12" s="4">
        <v>5.45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1028</v>
      </c>
      <c r="B13" s="4">
        <v>0</v>
      </c>
      <c r="C13" s="4" t="s">
        <v>746</v>
      </c>
      <c r="D13" s="4"/>
      <c r="E13" s="4"/>
      <c r="F13" s="4"/>
      <c r="G13" s="4" t="s">
        <v>1026</v>
      </c>
      <c r="H13" s="4">
        <v>5.45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1029</v>
      </c>
      <c r="B2" s="4">
        <v>370</v>
      </c>
      <c r="C2" s="4" t="s">
        <v>16</v>
      </c>
      <c r="D2" s="4"/>
      <c r="E2" s="4" t="s">
        <v>1030</v>
      </c>
      <c r="F2" s="4"/>
      <c r="G2" s="4" t="s">
        <v>1031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1032</v>
      </c>
      <c r="B3" s="4">
        <v>234</v>
      </c>
      <c r="C3" s="4" t="s">
        <v>16</v>
      </c>
      <c r="D3" s="4"/>
      <c r="E3" s="4" t="s">
        <v>1033</v>
      </c>
      <c r="F3" s="4"/>
      <c r="G3" s="4" t="s">
        <v>1034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1035</v>
      </c>
      <c r="B4" s="4">
        <v>332</v>
      </c>
      <c r="C4" s="4" t="s">
        <v>16</v>
      </c>
      <c r="D4" s="4"/>
      <c r="E4" s="4" t="s">
        <v>1033</v>
      </c>
      <c r="F4" s="4"/>
      <c r="G4" s="4" t="s">
        <v>1034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1036</v>
      </c>
      <c r="B5" s="4">
        <v>0</v>
      </c>
      <c r="C5" s="4" t="s">
        <v>16</v>
      </c>
      <c r="D5" s="4"/>
      <c r="E5" s="4"/>
      <c r="F5" s="4"/>
      <c r="G5" s="4" t="s">
        <v>1037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1038</v>
      </c>
      <c r="B1" s="8" t="s">
        <v>1039</v>
      </c>
      <c r="C1" s="9" t="s">
        <v>25</v>
      </c>
    </row>
    <row r="2" spans="1:3" x14ac:dyDescent="0.25">
      <c r="A2" s="10" t="s">
        <v>1040</v>
      </c>
      <c r="B2" s="10" t="s">
        <v>1041</v>
      </c>
      <c r="C2" s="11">
        <f>='borden_afstandshouder'!O6</f>
      </c>
    </row>
    <row r="3" spans="1:3" x14ac:dyDescent="0.25">
      <c r="A3" s="10" t="s">
        <v>1040</v>
      </c>
      <c r="B3" s="10" t="s">
        <v>1042</v>
      </c>
      <c r="C3" s="11">
        <f>='borden_hout'!O6</f>
      </c>
    </row>
    <row r="4" spans="1:3" x14ac:dyDescent="0.25">
      <c r="A4" s="10" t="s">
        <v>1040</v>
      </c>
      <c r="B4" s="10" t="s">
        <v>1043</v>
      </c>
      <c r="C4" s="11">
        <f>='borden_plexi_opaal'!O3</f>
      </c>
    </row>
    <row r="5" spans="1:3" x14ac:dyDescent="0.25">
      <c r="A5" s="10" t="s">
        <v>1040</v>
      </c>
      <c r="B5" s="10" t="s">
        <v>1044</v>
      </c>
      <c r="C5" s="11">
        <f>='borden_forex_zwart'!P51</f>
      </c>
    </row>
    <row r="6" spans="1:3" x14ac:dyDescent="0.25">
      <c r="A6" s="10" t="s">
        <v>1040</v>
      </c>
      <c r="B6" s="10" t="s">
        <v>1045</v>
      </c>
      <c r="C6" s="11">
        <f>='borden_forex_wit'!O63</f>
      </c>
    </row>
    <row r="7" spans="1:3" x14ac:dyDescent="0.25">
      <c r="A7" s="10" t="s">
        <v>1040</v>
      </c>
      <c r="B7" s="10" t="s">
        <v>1046</v>
      </c>
      <c r="C7" s="11">
        <f>='borden_zwart'!O75</f>
      </c>
    </row>
    <row r="8" spans="1:3" x14ac:dyDescent="0.25">
      <c r="A8" s="10" t="s">
        <v>1040</v>
      </c>
      <c r="B8" s="10" t="s">
        <v>1047</v>
      </c>
      <c r="C8" s="11">
        <f>='borden_wit'!O153</f>
      </c>
    </row>
    <row r="9" spans="1:3" x14ac:dyDescent="0.25">
      <c r="A9" s="10" t="s">
        <v>1040</v>
      </c>
      <c r="B9" s="10" t="s">
        <v>1048</v>
      </c>
      <c r="C9" s="11">
        <f>='borden_kanaalplaten'!O13</f>
      </c>
    </row>
    <row r="10" spans="1:3" x14ac:dyDescent="0.25">
      <c r="A10" s="10" t="s">
        <v>1040</v>
      </c>
      <c r="B10" s="10" t="s">
        <v>1049</v>
      </c>
      <c r="C10" s="11">
        <f>='borden_brushed_steel'!O5</f>
      </c>
    </row>
    <row r="11" spans="1:3" x14ac:dyDescent="0.25">
      <c r="A11" s="10" t="s">
        <v>1040</v>
      </c>
      <c r="B11" s="10" t="s">
        <v>1050</v>
      </c>
      <c r="C11" s="11">
        <f>='borden_plexiglas'!O8</f>
      </c>
    </row>
    <row r="12" spans="1:3" x14ac:dyDescent="0.25">
      <c r="A12" s="10" t="s">
        <v>1051</v>
      </c>
      <c r="B12" s="10" t="s">
        <v>1052</v>
      </c>
      <c r="C12" s="11">
        <f>='stock_rollup'!O3</f>
      </c>
    </row>
    <row r="13" spans="1:3" x14ac:dyDescent="0.25">
      <c r="A13" s="10" t="s">
        <v>1051</v>
      </c>
      <c r="B13" s="10" t="s">
        <v>1053</v>
      </c>
      <c r="C13" s="11">
        <f>='stock_snijfolie'!O28</f>
      </c>
    </row>
    <row r="14" spans="1:3" x14ac:dyDescent="0.25">
      <c r="A14" s="10" t="s">
        <v>1051</v>
      </c>
      <c r="B14" s="10" t="s">
        <v>1054</v>
      </c>
      <c r="C14" s="11">
        <f>='stock_interieurfolie'!O7</f>
      </c>
    </row>
    <row r="15" spans="1:3" x14ac:dyDescent="0.25">
      <c r="A15" s="10" t="s">
        <v>1051</v>
      </c>
      <c r="B15" s="10" t="s">
        <v>1055</v>
      </c>
      <c r="C15" s="11">
        <f>='stock_flex'!O23</f>
      </c>
    </row>
    <row r="16" spans="1:3" x14ac:dyDescent="0.25">
      <c r="A16" s="10" t="s">
        <v>1051</v>
      </c>
      <c r="B16" s="10" t="s">
        <v>1056</v>
      </c>
      <c r="C16" s="11">
        <f>='stock_printfolie'!O36</f>
      </c>
    </row>
    <row r="17" spans="1:3" x14ac:dyDescent="0.25">
      <c r="A17" s="10" t="s">
        <v>1051</v>
      </c>
      <c r="B17" s="10" t="s">
        <v>1057</v>
      </c>
      <c r="C17" s="11">
        <f>='stock_swf'!O39</f>
      </c>
    </row>
    <row r="18" spans="1:3" x14ac:dyDescent="0.25">
      <c r="A18" s="10" t="s">
        <v>1051</v>
      </c>
      <c r="B18" s="10" t="s">
        <v>1058</v>
      </c>
      <c r="C18" s="11">
        <f>='stock_allerlei'!O9</f>
      </c>
    </row>
    <row r="19" spans="1:3" x14ac:dyDescent="0.25">
      <c r="A19" s="10" t="s">
        <v>1051</v>
      </c>
      <c r="B19" s="10" t="s">
        <v>1059</v>
      </c>
      <c r="C19" s="11">
        <f>='stock_magneetfolie'!O5</f>
      </c>
    </row>
    <row r="20" spans="1:3" x14ac:dyDescent="0.25">
      <c r="A20" s="10" t="s">
        <v>1051</v>
      </c>
      <c r="B20" s="10" t="s">
        <v>1060</v>
      </c>
      <c r="C20" s="11">
        <f>='stock_buizen'!O13</f>
      </c>
    </row>
    <row r="21" spans="1:3" x14ac:dyDescent="0.25">
      <c r="A21" s="10" t="s">
        <v>1051</v>
      </c>
      <c r="B21" s="10" t="s">
        <v>1061</v>
      </c>
      <c r="C21" s="11">
        <f>='stock_zandstraal'!O14</f>
      </c>
    </row>
    <row r="22" spans="1:3" x14ac:dyDescent="0.25">
      <c r="A22" s="10" t="s">
        <v>1051</v>
      </c>
      <c r="B22" s="10" t="s">
        <v>1062</v>
      </c>
      <c r="C22" s="11">
        <f>='stock_rekkers'!O6</f>
      </c>
    </row>
    <row r="23" spans="1:3" s="12" customFormat="1" x14ac:dyDescent="0.25">
      <c r="A23" s="13" t="s">
        <v>1063</v>
      </c>
      <c r="B23" s="13" t="s">
        <v>103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2025-11-03T10:41:45Z</dcterms:created>
  <dcterms:modified xsi:type="dcterms:W3CDTF">2025-11-03T10:41:45Z</dcterms:modified>
</cp:coreProperties>
</file>