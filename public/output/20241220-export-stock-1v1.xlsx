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llup" state="visible" r:id="rId4"/>
    <sheet sheetId="2" name="snijfolie" state="visible" r:id="rId5"/>
    <sheet sheetId="3" name="interieurfolie" state="visible" r:id="rId6"/>
    <sheet sheetId="4" name="flex" state="visible" r:id="rId7"/>
    <sheet sheetId="5" name="printfolie" state="visible" r:id="rId8"/>
    <sheet sheetId="6" name="swf" state="visible" r:id="rId9"/>
    <sheet sheetId="7" name="allerlei" state="visible" r:id="rId10"/>
    <sheet sheetId="8" name="magneetfolie" state="visible" r:id="rId11"/>
    <sheet sheetId="9" name="buizen" state="visible" r:id="rId12"/>
    <sheet sheetId="10" name="zandstraal" state="visible" r:id="rId13"/>
    <sheet sheetId="11" name="rekkers" state="visible" r:id="rId14"/>
    <sheet sheetId="12" name="total" state="visible" r:id="rId15"/>
  </sheets>
  <calcPr calcId="171027"/>
</workbook>
</file>

<file path=xl/sharedStrings.xml><?xml version="1.0" encoding="utf-8"?>
<sst xmlns="http://schemas.openxmlformats.org/spreadsheetml/2006/main" count="809" uniqueCount="318">
  <si>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</si>
  <si>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</si>
  <si>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</si>
  <si>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</si>
  <si>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</si>
  <si>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</si>
  <si>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</si>
  <si>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</si>
  <si>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</si>
  <si>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</si>
  <si>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</si>
  <si>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</si>
  <si>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</si>
  <si>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</si>
  <si>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</si>
  <si>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6765228a85d21deb735a1f8f</t>
  </si>
  <si>
    <t>stuk</t>
  </si>
  <si>
    <t xml:space="preserve">85cm </t>
  </si>
  <si>
    <t>Breed</t>
  </si>
  <si>
    <t>stuks</t>
  </si>
  <si>
    <t>Total</t>
  </si>
  <si>
    <t>6765228585d21deb735a1f52</t>
  </si>
  <si>
    <t>rol_per_meter</t>
  </si>
  <si>
    <t>122</t>
  </si>
  <si>
    <t>Avery 700 PF White 1,230m</t>
  </si>
  <si>
    <t>M</t>
  </si>
  <si>
    <t>6765228585d21deb735a1f53</t>
  </si>
  <si>
    <t>Avery 709 Ocean Blue 1,230m</t>
  </si>
  <si>
    <t>6765228585d21deb735a1f54</t>
  </si>
  <si>
    <t>Avery 711 Forrest Green</t>
  </si>
  <si>
    <t>6765228585d21deb735a1f55</t>
  </si>
  <si>
    <t>Avery 714-02 green yellow</t>
  </si>
  <si>
    <t>6765228585d21deb735a1f56</t>
  </si>
  <si>
    <t>Avery 721 PF Matte Black 1,230</t>
  </si>
  <si>
    <t>6765228685d21deb735a1f57</t>
  </si>
  <si>
    <t>Avery 726 Medium Red</t>
  </si>
  <si>
    <t>6765228685d21deb735a1f58</t>
  </si>
  <si>
    <t>Avery 730 White Matt</t>
  </si>
  <si>
    <t>6765228685d21deb735a1f59</t>
  </si>
  <si>
    <t>Avery 731 Turqouise</t>
  </si>
  <si>
    <t>6765228685d21deb735a1f5a</t>
  </si>
  <si>
    <t>Avery 732 Light Blue</t>
  </si>
  <si>
    <t>6765228685d21deb735a1f5b</t>
  </si>
  <si>
    <t>AVERY 736 gold metallic 1,230</t>
  </si>
  <si>
    <t>6765228685d21deb735a1f5c</t>
  </si>
  <si>
    <t>Avery 735 Silver Metallic 1,230m</t>
  </si>
  <si>
    <t>6765228685d21deb735a1f5d</t>
  </si>
  <si>
    <t>Avery 765 Blood Red</t>
  </si>
  <si>
    <t>6765228685d21deb735a1f5e</t>
  </si>
  <si>
    <t>Avery 770 Red</t>
  </si>
  <si>
    <t>6765228685d21deb735a1f5f</t>
  </si>
  <si>
    <t>Avery 783 Scandinavian Blue</t>
  </si>
  <si>
    <t>6765228685d21deb735a1f60</t>
  </si>
  <si>
    <t>Avery 883 Hazelnut Brown</t>
  </si>
  <si>
    <t>6765228685d21deb735a1f61</t>
  </si>
  <si>
    <t>Avery 941 Cosmos Blue</t>
  </si>
  <si>
    <t>6765228685d21deb735a1f62</t>
  </si>
  <si>
    <t>AVERY cherry red</t>
  </si>
  <si>
    <t>6765228685d21deb735a1f63</t>
  </si>
  <si>
    <t>HexisF613 fluo Orange 1230</t>
  </si>
  <si>
    <t>6765228785d21deb735a1f64</t>
  </si>
  <si>
    <t>Transparant Nebula</t>
  </si>
  <si>
    <t>6765228785d21deb735a1f65</t>
  </si>
  <si>
    <t>Transparant Oranje</t>
  </si>
  <si>
    <t>6765228785d21deb735a1f66</t>
  </si>
  <si>
    <t>Transparant Oranje (Oracle)</t>
  </si>
  <si>
    <t>6765228785d21deb735a1f67</t>
  </si>
  <si>
    <t>V4000 Reflective</t>
  </si>
  <si>
    <t>6765228785d21deb735a1f68</t>
  </si>
  <si>
    <t>6765228785d21deb735a1f69</t>
  </si>
  <si>
    <t>AVERY 749 Cardinal Red</t>
  </si>
  <si>
    <t>6765228785d21deb735a1f6a</t>
  </si>
  <si>
    <t>AVERY 708 COSMOS BLUE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</si>
  <si>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</si>
  <si>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</si>
  <si>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</si>
  <si>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</si>
  <si>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</si>
  <si>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</si>
  <si>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</si>
  <si>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</si>
  <si>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</si>
  <si>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</si>
  <si>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</si>
  <si>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</si>
  <si>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</si>
  <si>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</si>
  <si>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</si>
  <si>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</si>
  <si>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</si>
  <si>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</si>
  <si>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</si>
  <si>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</si>
  <si>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</si>
  <si>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</si>
  <si>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</si>
  <si>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</si>
  <si>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</si>
  <si>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</si>
  <si>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</si>
  <si>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</si>
  <si>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</si>
  <si>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</si>
  <si>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</si>
  <si>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</si>
  <si>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</si>
  <si>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</si>
  <si>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</si>
  <si>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</si>
  <si>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</si>
  <si>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</si>
  <si>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</si>
  <si>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</si>
  <si>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</si>
  <si>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</si>
  <si>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</si>
  <si>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</si>
  <si>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</si>
  <si>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</si>
  <si>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</si>
  <si>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</si>
  <si>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</si>
  <si>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</si>
  <si>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</si>
  <si>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</si>
  <si>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</si>
  <si>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</si>
  <si>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</si>
  <si>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</si>
  <si>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</si>
  <si>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</si>
  <si>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</si>
  <si>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</si>
  <si>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</si>
  <si>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</si>
  <si>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</si>
  <si>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</si>
  <si>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</si>
  <si>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</si>
  <si>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</si>
  <si>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</si>
  <si>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</si>
  <si>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</si>
  <si>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</si>
  <si>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</si>
  <si>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</si>
  <si>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</si>
  <si>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</si>
  <si>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</si>
  <si>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</si>
  <si>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</si>
  <si>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</si>
  <si>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</si>
  <si>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</si>
  <si>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</si>
  <si>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</si>
  <si>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</si>
  <si>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</si>
  <si>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</si>
  <si>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</si>
  <si>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</si>
  <si>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</si>
  <si>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6765228f85d21deb735a1fd8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</si>
  <si>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</si>
  <si>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</si>
  <si>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</si>
  <si>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</si>
  <si>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</si>
  <si>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</si>
  <si>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</si>
  <si>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</si>
  <si>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</si>
  <si>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</si>
  <si>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</si>
  <si>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</si>
  <si>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</si>
  <si>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</si>
  <si>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</si>
  <si>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</si>
  <si>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</si>
  <si>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</si>
  <si>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</si>
  <si>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</si>
  <si>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</si>
  <si>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</si>
  <si>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</si>
  <si>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</si>
  <si>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</si>
  <si>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</si>
  <si>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</si>
  <si>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</si>
  <si>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</si>
  <si>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</si>
  <si>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</si>
  <si>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</si>
  <si>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</si>
  <si>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</si>
  <si>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</si>
  <si>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</si>
  <si>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</si>
  <si>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</si>
  <si>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</si>
  <si>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</si>
  <si>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</si>
  <si>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</si>
  <si>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</si>
  <si>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</si>
  <si>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</si>
  <si>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</si>
  <si>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</si>
  <si>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</si>
  <si>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</si>
  <si>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</si>
  <si>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</si>
  <si>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</si>
  <si>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</si>
  <si>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</si>
  <si>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</si>
  <si>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</si>
  <si>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</si>
  <si>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</si>
  <si>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</si>
  <si>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</si>
  <si>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</si>
  <si>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</si>
  <si>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</si>
  <si>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</si>
  <si>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</si>
  <si>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</si>
  <si>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</si>
  <si>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</si>
  <si>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</si>
  <si>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</si>
  <si>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</si>
  <si>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</si>
  <si>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</si>
  <si>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</si>
  <si>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</si>
  <si>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</si>
  <si>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</si>
  <si>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</si>
  <si>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</si>
  <si>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</si>
  <si>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</si>
  <si>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</si>
  <si>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</si>
  <si>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</si>
  <si>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</si>
  <si>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</si>
  <si>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</si>
  <si>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</si>
  <si>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</si>
  <si>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</si>
  <si>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</si>
  <si>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</si>
  <si>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</si>
  <si>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</si>
  <si>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</si>
  <si>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</si>
  <si>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</si>
  <si>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6765228885d21deb735a1f72</t>
  </si>
  <si>
    <t>200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</si>
  <si>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</si>
  <si>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</si>
  <si>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</si>
  <si>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</si>
  <si>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</si>
  <si>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</si>
  <si>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</si>
  <si>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</si>
  <si>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</si>
  <si>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</si>
  <si>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</si>
  <si>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</si>
  <si>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</si>
  <si>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</si>
  <si>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</si>
  <si>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30 cm</t>
  </si>
  <si>
    <t>90° Grijs Metaal</t>
  </si>
  <si>
    <t>6765228985d21deb735a1f83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</si>
  <si>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</si>
  <si>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</si>
  <si>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</si>
  <si>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</si>
  <si>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</si>
  <si>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</si>
  <si>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</si>
  <si>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</si>
  <si>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</si>
  <si>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</si>
  <si>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</si>
  <si>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</si>
  <si>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</si>
  <si>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</si>
  <si>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</si>
  <si>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</si>
  <si>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</si>
  <si>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</si>
  <si>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</si>
  <si>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</si>
  <si>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</si>
  <si>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</si>
  <si>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</si>
  <si>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</si>
  <si>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Sheet Name</t>
  </si>
  <si>
    <t>Subtotal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</si>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</sst>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1" fillId="0" borderId="2" xfId="0" applyFont="1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4</v>
      </c>
      <c r="C2" s="4" t="s">
        <v>16</v>
      </c>
      <c r="D2" s="4"/>
      <c r="E2" s="4" t="s">
        <v>17</v>
      </c>
      <c r="F2" s="4"/>
      <c r="G2" s="4" t="s">
        <v>18</v>
      </c>
      <c r="H2" s="4"/>
      <c r="I2" s="4">
        <v>63.64</v>
      </c>
      <c r="J2" s="4"/>
      <c r="K2" s="4"/>
      <c r="L2" s="4"/>
      <c r="M2" s="4" t="s">
        <v>19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20</v>
      </c>
      <c r="O3" s="6">
        <f>=SUM(O2:O2)</f>
      </c>
    </row>
  </sheetData>
  <sheetProtection sheet="1" algorithmName="SHA-512" hashValue="SDmYGW/vXcWmnJMPankdxmwrBUYUnaPHo8m3a0JHzkJ0UebnsXACrxQLwpVv3VMDmeM5k6CkmPr2KEeavrhk7A==" saltValue="MWW6AMXDXDgfQRPSS8BLQ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21</v>
      </c>
      <c r="B2" s="4">
        <v>0</v>
      </c>
      <c r="C2" s="4" t="s">
        <v>22</v>
      </c>
      <c r="D2" s="4"/>
      <c r="E2" s="4" t="s">
        <v>23</v>
      </c>
      <c r="F2" s="4"/>
      <c r="G2" s="4" t="s">
        <v>24</v>
      </c>
      <c r="H2" s="4">
        <v>6.32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26</v>
      </c>
      <c r="B3" s="4">
        <v>1.7</v>
      </c>
      <c r="C3" s="4" t="s">
        <v>22</v>
      </c>
      <c r="D3" s="4"/>
      <c r="E3" s="4" t="s">
        <v>23</v>
      </c>
      <c r="F3" s="4"/>
      <c r="G3" s="4" t="s">
        <v>27</v>
      </c>
      <c r="H3" s="4">
        <v>6.88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28</v>
      </c>
      <c r="B4" s="4">
        <v>0</v>
      </c>
      <c r="C4" s="4" t="s">
        <v>22</v>
      </c>
      <c r="D4" s="4"/>
      <c r="E4" s="4"/>
      <c r="F4" s="4"/>
      <c r="G4" s="4" t="s">
        <v>29</v>
      </c>
      <c r="H4" s="4">
        <v>6.88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30</v>
      </c>
      <c r="B5" s="4">
        <v>0.8</v>
      </c>
      <c r="C5" s="4" t="s">
        <v>22</v>
      </c>
      <c r="D5" s="4"/>
      <c r="E5" s="4"/>
      <c r="F5" s="4"/>
      <c r="G5" s="4" t="s">
        <v>31</v>
      </c>
      <c r="H5" s="4">
        <v>6.88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32</v>
      </c>
      <c r="B6" s="4">
        <v>50</v>
      </c>
      <c r="C6" s="4" t="s">
        <v>22</v>
      </c>
      <c r="D6" s="4"/>
      <c r="E6" s="4"/>
      <c r="F6" s="4"/>
      <c r="G6" s="4" t="s">
        <v>33</v>
      </c>
      <c r="H6" s="4">
        <v>6.32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 t="s">
        <v>34</v>
      </c>
      <c r="B7" s="4">
        <v>0</v>
      </c>
      <c r="C7" s="4" t="s">
        <v>22</v>
      </c>
      <c r="D7" s="4"/>
      <c r="E7" s="4"/>
      <c r="F7" s="4"/>
      <c r="G7" s="4" t="s">
        <v>35</v>
      </c>
      <c r="H7" s="4">
        <v>6.88</v>
      </c>
      <c r="I7" s="4"/>
      <c r="J7" s="4"/>
      <c r="K7" s="4"/>
      <c r="L7" s="4"/>
      <c r="M7" s="4" t="s">
        <v>25</v>
      </c>
      <c r="N7" s="4"/>
      <c r="O7" s="3">
        <f>=B7*H7</f>
      </c>
    </row>
    <row r="8" spans="1:15" x14ac:dyDescent="0.25">
      <c r="A8" s="2" t="s">
        <v>36</v>
      </c>
      <c r="B8" s="4">
        <v>50</v>
      </c>
      <c r="C8" s="4" t="s">
        <v>22</v>
      </c>
      <c r="D8" s="4"/>
      <c r="E8" s="4"/>
      <c r="F8" s="4"/>
      <c r="G8" s="4" t="s">
        <v>37</v>
      </c>
      <c r="H8" s="4">
        <v>6.32</v>
      </c>
      <c r="I8" s="4"/>
      <c r="J8" s="4"/>
      <c r="K8" s="4"/>
      <c r="L8" s="4"/>
      <c r="M8" s="4" t="s">
        <v>25</v>
      </c>
      <c r="N8" s="4"/>
      <c r="O8" s="3">
        <f>=B8*H8</f>
      </c>
    </row>
    <row r="9" spans="1:15" x14ac:dyDescent="0.25">
      <c r="A9" s="2" t="s">
        <v>38</v>
      </c>
      <c r="B9" s="4">
        <v>0</v>
      </c>
      <c r="C9" s="4" t="s">
        <v>22</v>
      </c>
      <c r="D9" s="4"/>
      <c r="E9" s="4"/>
      <c r="F9" s="4"/>
      <c r="G9" s="4" t="s">
        <v>39</v>
      </c>
      <c r="H9" s="4">
        <v>6.88</v>
      </c>
      <c r="I9" s="4"/>
      <c r="J9" s="4"/>
      <c r="K9" s="4"/>
      <c r="L9" s="4"/>
      <c r="M9" s="4" t="s">
        <v>25</v>
      </c>
      <c r="N9" s="4"/>
      <c r="O9" s="3">
        <f>=B9*H9</f>
      </c>
    </row>
    <row r="10" spans="1:15" x14ac:dyDescent="0.25">
      <c r="A10" s="2" t="s">
        <v>40</v>
      </c>
      <c r="B10" s="4">
        <v>0.8</v>
      </c>
      <c r="C10" s="4" t="s">
        <v>22</v>
      </c>
      <c r="D10" s="4"/>
      <c r="E10" s="4"/>
      <c r="F10" s="4"/>
      <c r="G10" s="4" t="s">
        <v>41</v>
      </c>
      <c r="H10" s="4">
        <v>6.88</v>
      </c>
      <c r="I10" s="4"/>
      <c r="J10" s="4"/>
      <c r="K10" s="4"/>
      <c r="L10" s="4"/>
      <c r="M10" s="4" t="s">
        <v>25</v>
      </c>
      <c r="N10" s="4"/>
      <c r="O10" s="3">
        <f>=B10*H10</f>
      </c>
    </row>
    <row r="11" spans="1:15" x14ac:dyDescent="0.25">
      <c r="A11" s="2" t="s">
        <v>42</v>
      </c>
      <c r="B11" s="4">
        <v>1</v>
      </c>
      <c r="C11" s="4" t="s">
        <v>22</v>
      </c>
      <c r="D11" s="4"/>
      <c r="E11" s="4"/>
      <c r="F11" s="4"/>
      <c r="G11" s="4" t="s">
        <v>43</v>
      </c>
      <c r="H11" s="4">
        <v>6.88</v>
      </c>
      <c r="I11" s="4"/>
      <c r="J11" s="4"/>
      <c r="K11" s="4"/>
      <c r="L11" s="4"/>
      <c r="M11" s="4" t="s">
        <v>25</v>
      </c>
      <c r="N11" s="4"/>
      <c r="O11" s="3">
        <f>=B11*H11</f>
      </c>
    </row>
    <row r="12" spans="1:15" x14ac:dyDescent="0.25">
      <c r="A12" s="2" t="s">
        <v>44</v>
      </c>
      <c r="B12" s="4">
        <v>45.4</v>
      </c>
      <c r="C12" s="4" t="s">
        <v>22</v>
      </c>
      <c r="D12" s="4"/>
      <c r="E12" s="4"/>
      <c r="F12" s="4"/>
      <c r="G12" s="4" t="s">
        <v>45</v>
      </c>
      <c r="H12" s="4">
        <v>6.88</v>
      </c>
      <c r="I12" s="4"/>
      <c r="J12" s="4"/>
      <c r="K12" s="4"/>
      <c r="L12" s="4"/>
      <c r="M12" s="4" t="s">
        <v>25</v>
      </c>
      <c r="N12" s="4"/>
      <c r="O12" s="3">
        <f>=B12*H12</f>
      </c>
    </row>
    <row r="13" spans="1:15" x14ac:dyDescent="0.25">
      <c r="A13" s="2" t="s">
        <v>46</v>
      </c>
      <c r="B13" s="4">
        <v>1</v>
      </c>
      <c r="C13" s="4" t="s">
        <v>22</v>
      </c>
      <c r="D13" s="4"/>
      <c r="E13" s="4" t="s">
        <v>23</v>
      </c>
      <c r="F13" s="4"/>
      <c r="G13" s="4" t="s">
        <v>47</v>
      </c>
      <c r="H13" s="4">
        <v>6.88</v>
      </c>
      <c r="I13" s="4"/>
      <c r="J13" s="4"/>
      <c r="K13" s="4"/>
      <c r="L13" s="4"/>
      <c r="M13" s="4" t="s">
        <v>25</v>
      </c>
      <c r="N13" s="4"/>
      <c r="O13" s="3">
        <f>=B13*H13</f>
      </c>
    </row>
    <row r="14" spans="1:15" x14ac:dyDescent="0.25">
      <c r="A14" s="2" t="s">
        <v>48</v>
      </c>
      <c r="B14" s="4">
        <v>1.25</v>
      </c>
      <c r="C14" s="4" t="s">
        <v>22</v>
      </c>
      <c r="D14" s="4"/>
      <c r="E14" s="4"/>
      <c r="F14" s="4"/>
      <c r="G14" s="4" t="s">
        <v>49</v>
      </c>
      <c r="H14" s="4">
        <v>6.88</v>
      </c>
      <c r="I14" s="4"/>
      <c r="J14" s="4"/>
      <c r="K14" s="4"/>
      <c r="L14" s="4"/>
      <c r="M14" s="4" t="s">
        <v>25</v>
      </c>
      <c r="N14" s="4"/>
      <c r="O14" s="3">
        <f>=B14*H14</f>
      </c>
    </row>
    <row r="15" spans="1:15" x14ac:dyDescent="0.25">
      <c r="A15" s="2" t="s">
        <v>50</v>
      </c>
      <c r="B15" s="4">
        <v>0</v>
      </c>
      <c r="C15" s="4" t="s">
        <v>22</v>
      </c>
      <c r="D15" s="4"/>
      <c r="E15" s="4"/>
      <c r="F15" s="4"/>
      <c r="G15" s="4" t="s">
        <v>51</v>
      </c>
      <c r="H15" s="4">
        <v>6.88</v>
      </c>
      <c r="I15" s="4"/>
      <c r="J15" s="4"/>
      <c r="K15" s="4"/>
      <c r="L15" s="4"/>
      <c r="M15" s="4" t="s">
        <v>25</v>
      </c>
      <c r="N15" s="4"/>
      <c r="O15" s="3">
        <f>=B15*H15</f>
      </c>
    </row>
    <row r="16" spans="1:15" x14ac:dyDescent="0.25">
      <c r="A16" s="2" t="s">
        <v>52</v>
      </c>
      <c r="B16" s="4">
        <v>0</v>
      </c>
      <c r="C16" s="4" t="s">
        <v>22</v>
      </c>
      <c r="D16" s="4"/>
      <c r="E16" s="4"/>
      <c r="F16" s="4"/>
      <c r="G16" s="4" t="s">
        <v>53</v>
      </c>
      <c r="H16" s="4">
        <v>9.55</v>
      </c>
      <c r="I16" s="4"/>
      <c r="J16" s="4"/>
      <c r="K16" s="4"/>
      <c r="L16" s="4"/>
      <c r="M16" s="4" t="s">
        <v>25</v>
      </c>
      <c r="N16" s="4"/>
      <c r="O16" s="3">
        <f>=B16*H16</f>
      </c>
    </row>
    <row r="17" spans="1:15" x14ac:dyDescent="0.25">
      <c r="A17" s="2" t="s">
        <v>54</v>
      </c>
      <c r="B17" s="4">
        <v>8.5</v>
      </c>
      <c r="C17" s="4" t="s">
        <v>22</v>
      </c>
      <c r="D17" s="4"/>
      <c r="E17" s="4" t="s">
        <v>23</v>
      </c>
      <c r="F17" s="4"/>
      <c r="G17" s="4" t="s">
        <v>55</v>
      </c>
      <c r="H17" s="4">
        <v>18.25</v>
      </c>
      <c r="I17" s="4"/>
      <c r="J17" s="4"/>
      <c r="K17" s="4"/>
      <c r="L17" s="4"/>
      <c r="M17" s="4" t="s">
        <v>25</v>
      </c>
      <c r="N17" s="4"/>
      <c r="O17" s="3">
        <f>=B17*H17</f>
      </c>
    </row>
    <row r="18" spans="1:15" x14ac:dyDescent="0.25">
      <c r="A18" s="2" t="s">
        <v>56</v>
      </c>
      <c r="B18" s="4">
        <v>0</v>
      </c>
      <c r="C18" s="4" t="s">
        <v>22</v>
      </c>
      <c r="D18" s="4"/>
      <c r="E18" s="4"/>
      <c r="F18" s="4"/>
      <c r="G18" s="4" t="s">
        <v>57</v>
      </c>
      <c r="H18" s="4">
        <v>9.55</v>
      </c>
      <c r="I18" s="4"/>
      <c r="J18" s="4"/>
      <c r="K18" s="4"/>
      <c r="L18" s="4"/>
      <c r="M18" s="4" t="s">
        <v>25</v>
      </c>
      <c r="N18" s="4"/>
      <c r="O18" s="3">
        <f>=B18*H18</f>
      </c>
    </row>
    <row r="19" spans="1:15" x14ac:dyDescent="0.25">
      <c r="A19" s="2" t="s">
        <v>58</v>
      </c>
      <c r="B19" s="4">
        <v>0</v>
      </c>
      <c r="C19" s="4" t="s">
        <v>22</v>
      </c>
      <c r="D19" s="4"/>
      <c r="E19" s="4"/>
      <c r="F19" s="4"/>
      <c r="G19" s="4" t="s">
        <v>59</v>
      </c>
      <c r="H19" s="4">
        <v>14.58</v>
      </c>
      <c r="I19" s="4"/>
      <c r="J19" s="4"/>
      <c r="K19" s="4"/>
      <c r="L19" s="4"/>
      <c r="M19" s="4" t="s">
        <v>25</v>
      </c>
      <c r="N19" s="4"/>
      <c r="O19" s="3">
        <f>=B19*H19</f>
      </c>
    </row>
    <row r="20" spans="1:15" x14ac:dyDescent="0.25">
      <c r="A20" s="2" t="s">
        <v>60</v>
      </c>
      <c r="B20" s="4">
        <v>0</v>
      </c>
      <c r="C20" s="4" t="s">
        <v>22</v>
      </c>
      <c r="D20" s="4"/>
      <c r="E20" s="4"/>
      <c r="F20" s="4"/>
      <c r="G20" s="4" t="s">
        <v>61</v>
      </c>
      <c r="H20" s="4">
        <v>0</v>
      </c>
      <c r="I20" s="4"/>
      <c r="J20" s="4"/>
      <c r="K20" s="4"/>
      <c r="L20" s="4"/>
      <c r="M20" s="4" t="s">
        <v>25</v>
      </c>
      <c r="N20" s="4"/>
      <c r="O20" s="3">
        <f>=B20*H20</f>
      </c>
    </row>
    <row r="21" spans="1:15" x14ac:dyDescent="0.25">
      <c r="A21" s="2" t="s">
        <v>62</v>
      </c>
      <c r="B21" s="4">
        <v>0</v>
      </c>
      <c r="C21" s="4" t="s">
        <v>22</v>
      </c>
      <c r="D21" s="4"/>
      <c r="E21" s="4"/>
      <c r="F21" s="4"/>
      <c r="G21" s="4" t="s">
        <v>63</v>
      </c>
      <c r="H21" s="4">
        <v>0</v>
      </c>
      <c r="I21" s="4"/>
      <c r="J21" s="4"/>
      <c r="K21" s="4"/>
      <c r="L21" s="4"/>
      <c r="M21" s="4" t="s">
        <v>25</v>
      </c>
      <c r="N21" s="4"/>
      <c r="O21" s="3">
        <f>=B21*H21</f>
      </c>
    </row>
    <row r="22" spans="1:15" x14ac:dyDescent="0.25">
      <c r="A22" s="2" t="s">
        <v>64</v>
      </c>
      <c r="B22" s="4">
        <v>0</v>
      </c>
      <c r="C22" s="4" t="s">
        <v>22</v>
      </c>
      <c r="D22" s="4"/>
      <c r="E22" s="4"/>
      <c r="F22" s="4"/>
      <c r="G22" s="4" t="s">
        <v>65</v>
      </c>
      <c r="H22" s="4">
        <v>0</v>
      </c>
      <c r="I22" s="4"/>
      <c r="J22" s="4"/>
      <c r="K22" s="4"/>
      <c r="L22" s="4"/>
      <c r="M22" s="4" t="s">
        <v>25</v>
      </c>
      <c r="N22" s="4"/>
      <c r="O22" s="3">
        <f>=B22*H22</f>
      </c>
    </row>
    <row r="23" spans="1:15" x14ac:dyDescent="0.25">
      <c r="A23" s="2" t="s">
        <v>66</v>
      </c>
      <c r="B23" s="4">
        <v>0</v>
      </c>
      <c r="C23" s="4" t="s">
        <v>22</v>
      </c>
      <c r="D23" s="4"/>
      <c r="E23" s="4"/>
      <c r="F23" s="4"/>
      <c r="G23" s="4" t="s">
        <v>67</v>
      </c>
      <c r="H23" s="4">
        <v>25.59</v>
      </c>
      <c r="I23" s="4"/>
      <c r="J23" s="4"/>
      <c r="K23" s="4"/>
      <c r="L23" s="4"/>
      <c r="M23" s="4" t="s">
        <v>25</v>
      </c>
      <c r="N23" s="4"/>
      <c r="O23" s="3">
        <f>=B23*H23</f>
      </c>
    </row>
    <row r="24" spans="1:15" x14ac:dyDescent="0.25">
      <c r="A24" s="2" t="s">
        <v>68</v>
      </c>
      <c r="B24" s="4">
        <v>0</v>
      </c>
      <c r="C24" s="4" t="s">
        <v>22</v>
      </c>
      <c r="D24" s="4"/>
      <c r="E24" s="4"/>
      <c r="F24" s="4"/>
      <c r="G24" s="4" t="s">
        <v>67</v>
      </c>
      <c r="H24" s="4">
        <v>25.59</v>
      </c>
      <c r="I24" s="4"/>
      <c r="J24" s="4"/>
      <c r="K24" s="4"/>
      <c r="L24" s="4"/>
      <c r="M24" s="4" t="s">
        <v>25</v>
      </c>
      <c r="N24" s="4"/>
      <c r="O24" s="3">
        <f>=B24*H24</f>
      </c>
    </row>
    <row r="25" spans="1:15" x14ac:dyDescent="0.25">
      <c r="A25" s="2" t="s">
        <v>69</v>
      </c>
      <c r="B25" s="4">
        <v>3</v>
      </c>
      <c r="C25" s="4" t="s">
        <v>22</v>
      </c>
      <c r="D25" s="4"/>
      <c r="E25" s="4" t="s">
        <v>23</v>
      </c>
      <c r="F25" s="4"/>
      <c r="G25" s="4" t="s">
        <v>70</v>
      </c>
      <c r="H25" s="4">
        <v>0</v>
      </c>
      <c r="I25" s="4"/>
      <c r="J25" s="4"/>
      <c r="K25" s="4"/>
      <c r="L25" s="4"/>
      <c r="M25" s="4" t="s">
        <v>25</v>
      </c>
      <c r="N25" s="4"/>
      <c r="O25" s="3">
        <f>=B25*H25</f>
      </c>
    </row>
    <row r="26" spans="1:15" x14ac:dyDescent="0.25">
      <c r="A26" s="2" t="s">
        <v>71</v>
      </c>
      <c r="B26" s="4">
        <v>2.8</v>
      </c>
      <c r="C26" s="4" t="s">
        <v>22</v>
      </c>
      <c r="D26" s="4"/>
      <c r="E26" s="4" t="s">
        <v>23</v>
      </c>
      <c r="F26" s="4"/>
      <c r="G26" s="4" t="s">
        <v>72</v>
      </c>
      <c r="H26" s="4">
        <v>0</v>
      </c>
      <c r="I26" s="4"/>
      <c r="J26" s="4"/>
      <c r="K26" s="4"/>
      <c r="L26" s="4"/>
      <c r="M26" s="4" t="s">
        <v>25</v>
      </c>
      <c r="N26" s="4"/>
      <c r="O26" s="3">
        <f>=B26*H26</f>
      </c>
    </row>
    <row r="27" spans="1:15" x14ac:dyDescent="0.25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 t="s">
        <v>20</v>
      </c>
      <c r="O27" s="6">
        <f>=SUM(O2:O26)</f>
      </c>
    </row>
  </sheetData>
  <sheetProtection sheet="1" algorithmName="SHA-512" hashValue="SGRNfWzsdJo6lS8D09RBqpiBcMZprnGJQIP4WUn0X9WISdtg1S1zhgMUg1+Rcck65hq98vImL3hjDP8iP8FpAQ==" saltValue="PDjxxpWsXvpjMlgcZkwVp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73</v>
      </c>
      <c r="B2" s="4">
        <v>1.4</v>
      </c>
      <c r="C2" s="4" t="s">
        <v>22</v>
      </c>
      <c r="D2" s="4"/>
      <c r="E2" s="4"/>
      <c r="F2" s="4"/>
      <c r="G2" s="4" t="s">
        <v>74</v>
      </c>
      <c r="H2" s="4">
        <v>18.65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75</v>
      </c>
      <c r="B3" s="4">
        <v>3</v>
      </c>
      <c r="C3" s="4" t="s">
        <v>22</v>
      </c>
      <c r="D3" s="4"/>
      <c r="E3" s="4"/>
      <c r="F3" s="4"/>
      <c r="G3" s="4" t="s">
        <v>76</v>
      </c>
      <c r="H3" s="4">
        <v>17.49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77</v>
      </c>
      <c r="B4" s="4">
        <v>0.93</v>
      </c>
      <c r="C4" s="4" t="s">
        <v>22</v>
      </c>
      <c r="D4" s="4"/>
      <c r="E4" s="4"/>
      <c r="F4" s="4"/>
      <c r="G4" s="4" t="s">
        <v>78</v>
      </c>
      <c r="H4" s="4">
        <v>18.65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79</v>
      </c>
      <c r="B5" s="4">
        <v>1.2</v>
      </c>
      <c r="C5" s="4" t="s">
        <v>22</v>
      </c>
      <c r="D5" s="4"/>
      <c r="E5" s="4"/>
      <c r="F5" s="4"/>
      <c r="G5" s="4" t="s">
        <v>78</v>
      </c>
      <c r="H5" s="4">
        <v>18.65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80</v>
      </c>
      <c r="B6" s="4">
        <v>1.4</v>
      </c>
      <c r="C6" s="4" t="s">
        <v>22</v>
      </c>
      <c r="D6" s="4"/>
      <c r="E6" s="4"/>
      <c r="F6" s="4"/>
      <c r="G6" s="4" t="s">
        <v>81</v>
      </c>
      <c r="H6" s="4">
        <v>24.13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20</v>
      </c>
      <c r="O7" s="6">
        <f>=SUM(O2:O6)</f>
      </c>
    </row>
  </sheetData>
  <sheetProtection sheet="1" algorithmName="SHA-512" hashValue="B3rZxlM5MTTfZm1sHXUAsF88ynyhfLYKWo25dsCxwkmQNVvpB1eLFG35rPRztfX3eHxn0k9NYLXbDFPiIyH+Rg==" saltValue="7lzpUs6sBPhrNG32Td4jc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82</v>
      </c>
      <c r="B2" s="4">
        <v>3</v>
      </c>
      <c r="C2" s="4" t="s">
        <v>22</v>
      </c>
      <c r="D2" s="4"/>
      <c r="E2" s="4"/>
      <c r="F2" s="4"/>
      <c r="G2" s="4" t="s">
        <v>83</v>
      </c>
      <c r="H2" s="4">
        <v>12.5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84</v>
      </c>
      <c r="B3" s="4">
        <v>0.4</v>
      </c>
      <c r="C3" s="4" t="s">
        <v>22</v>
      </c>
      <c r="D3" s="4"/>
      <c r="E3" s="4"/>
      <c r="F3" s="4"/>
      <c r="G3" s="4" t="s">
        <v>85</v>
      </c>
      <c r="H3" s="4">
        <v>6.21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86</v>
      </c>
      <c r="B4" s="4">
        <v>0.5</v>
      </c>
      <c r="C4" s="4" t="s">
        <v>22</v>
      </c>
      <c r="D4" s="4"/>
      <c r="E4" s="4"/>
      <c r="F4" s="4"/>
      <c r="G4" s="4" t="s">
        <v>87</v>
      </c>
      <c r="H4" s="4">
        <v>6.21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88</v>
      </c>
      <c r="B5" s="4">
        <v>0.7</v>
      </c>
      <c r="C5" s="4" t="s">
        <v>22</v>
      </c>
      <c r="D5" s="4"/>
      <c r="E5" s="4"/>
      <c r="F5" s="4"/>
      <c r="G5" s="4" t="s">
        <v>89</v>
      </c>
      <c r="H5" s="4">
        <v>6.21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90</v>
      </c>
      <c r="B6" s="4">
        <v>0.65</v>
      </c>
      <c r="C6" s="4" t="s">
        <v>22</v>
      </c>
      <c r="D6" s="4"/>
      <c r="E6" s="4"/>
      <c r="F6" s="4"/>
      <c r="G6" s="4" t="s">
        <v>91</v>
      </c>
      <c r="H6" s="4">
        <v>6.21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 t="s">
        <v>92</v>
      </c>
      <c r="B7" s="4">
        <v>6</v>
      </c>
      <c r="C7" s="4" t="s">
        <v>22</v>
      </c>
      <c r="D7" s="4"/>
      <c r="E7" s="4"/>
      <c r="F7" s="4"/>
      <c r="G7" s="4" t="s">
        <v>91</v>
      </c>
      <c r="H7" s="4">
        <v>6.21</v>
      </c>
      <c r="I7" s="4"/>
      <c r="J7" s="4"/>
      <c r="K7" s="4"/>
      <c r="L7" s="4"/>
      <c r="M7" s="4" t="s">
        <v>25</v>
      </c>
      <c r="N7" s="4"/>
      <c r="O7" s="3">
        <f>=B7*H7</f>
      </c>
    </row>
    <row r="8" spans="1:15" x14ac:dyDescent="0.25">
      <c r="A8" s="2" t="s">
        <v>93</v>
      </c>
      <c r="B8" s="4">
        <v>2</v>
      </c>
      <c r="C8" s="4" t="s">
        <v>22</v>
      </c>
      <c r="D8" s="4"/>
      <c r="E8" s="4"/>
      <c r="F8" s="4"/>
      <c r="G8" s="4" t="s">
        <v>94</v>
      </c>
      <c r="H8" s="4">
        <v>12.1</v>
      </c>
      <c r="I8" s="4"/>
      <c r="J8" s="4"/>
      <c r="K8" s="4"/>
      <c r="L8" s="4"/>
      <c r="M8" s="4" t="s">
        <v>25</v>
      </c>
      <c r="N8" s="4"/>
      <c r="O8" s="3">
        <f>=B8*H8</f>
      </c>
    </row>
    <row r="9" spans="1:15" x14ac:dyDescent="0.25">
      <c r="A9" s="2" t="s">
        <v>95</v>
      </c>
      <c r="B9" s="4">
        <v>4</v>
      </c>
      <c r="C9" s="4" t="s">
        <v>22</v>
      </c>
      <c r="D9" s="4"/>
      <c r="E9" s="4"/>
      <c r="F9" s="4"/>
      <c r="G9" s="4" t="s">
        <v>96</v>
      </c>
      <c r="H9" s="4">
        <v>6.21</v>
      </c>
      <c r="I9" s="4"/>
      <c r="J9" s="4"/>
      <c r="K9" s="4"/>
      <c r="L9" s="4"/>
      <c r="M9" s="4" t="s">
        <v>25</v>
      </c>
      <c r="N9" s="4"/>
      <c r="O9" s="3">
        <f>=B9*H9</f>
      </c>
    </row>
    <row r="10" spans="1:15" x14ac:dyDescent="0.25">
      <c r="A10" s="2" t="s">
        <v>97</v>
      </c>
      <c r="B10" s="4">
        <v>5</v>
      </c>
      <c r="C10" s="4" t="s">
        <v>22</v>
      </c>
      <c r="D10" s="4"/>
      <c r="E10" s="4"/>
      <c r="F10" s="4"/>
      <c r="G10" s="4" t="s">
        <v>98</v>
      </c>
      <c r="H10" s="4">
        <v>6.21</v>
      </c>
      <c r="I10" s="4"/>
      <c r="J10" s="4"/>
      <c r="K10" s="4"/>
      <c r="L10" s="4"/>
      <c r="M10" s="4" t="s">
        <v>25</v>
      </c>
      <c r="N10" s="4"/>
      <c r="O10" s="3">
        <f>=B10*H10</f>
      </c>
    </row>
    <row r="11" spans="1:15" x14ac:dyDescent="0.25">
      <c r="A11" s="2" t="s">
        <v>99</v>
      </c>
      <c r="B11" s="4">
        <v>3</v>
      </c>
      <c r="C11" s="4" t="s">
        <v>22</v>
      </c>
      <c r="D11" s="4"/>
      <c r="E11" s="4"/>
      <c r="F11" s="4"/>
      <c r="G11" s="4" t="s">
        <v>100</v>
      </c>
      <c r="H11" s="4">
        <v>7.1</v>
      </c>
      <c r="I11" s="4"/>
      <c r="J11" s="4"/>
      <c r="K11" s="4"/>
      <c r="L11" s="4"/>
      <c r="M11" s="4" t="s">
        <v>25</v>
      </c>
      <c r="N11" s="4"/>
      <c r="O11" s="3">
        <f>=B11*H11</f>
      </c>
    </row>
    <row r="12" spans="1:15" x14ac:dyDescent="0.25">
      <c r="A12" s="2" t="s">
        <v>101</v>
      </c>
      <c r="B12" s="4">
        <v>4</v>
      </c>
      <c r="C12" s="4" t="s">
        <v>22</v>
      </c>
      <c r="D12" s="4"/>
      <c r="E12" s="4"/>
      <c r="F12" s="4"/>
      <c r="G12" s="4" t="s">
        <v>102</v>
      </c>
      <c r="H12" s="4">
        <v>6.21</v>
      </c>
      <c r="I12" s="4"/>
      <c r="J12" s="4"/>
      <c r="K12" s="4"/>
      <c r="L12" s="4"/>
      <c r="M12" s="4" t="s">
        <v>25</v>
      </c>
      <c r="N12" s="4"/>
      <c r="O12" s="3">
        <f>=B12*H12</f>
      </c>
    </row>
    <row r="13" spans="1:15" x14ac:dyDescent="0.25">
      <c r="A13" s="2" t="s">
        <v>103</v>
      </c>
      <c r="B13" s="4">
        <v>2</v>
      </c>
      <c r="C13" s="4" t="s">
        <v>22</v>
      </c>
      <c r="D13" s="4"/>
      <c r="E13" s="4"/>
      <c r="F13" s="4"/>
      <c r="G13" s="4" t="s">
        <v>104</v>
      </c>
      <c r="H13" s="4">
        <v>6.21</v>
      </c>
      <c r="I13" s="4"/>
      <c r="J13" s="4"/>
      <c r="K13" s="4"/>
      <c r="L13" s="4"/>
      <c r="M13" s="4" t="s">
        <v>25</v>
      </c>
      <c r="N13" s="4"/>
      <c r="O13" s="3">
        <f>=B13*H13</f>
      </c>
    </row>
    <row r="14" spans="1:15" x14ac:dyDescent="0.25">
      <c r="A14" s="2" t="s">
        <v>105</v>
      </c>
      <c r="B14" s="4">
        <v>1.9</v>
      </c>
      <c r="C14" s="4" t="s">
        <v>22</v>
      </c>
      <c r="D14" s="4"/>
      <c r="E14" s="4"/>
      <c r="F14" s="4"/>
      <c r="G14" s="4" t="s">
        <v>106</v>
      </c>
      <c r="H14" s="4">
        <v>9.52</v>
      </c>
      <c r="I14" s="4"/>
      <c r="J14" s="4"/>
      <c r="K14" s="4"/>
      <c r="L14" s="4"/>
      <c r="M14" s="4" t="s">
        <v>25</v>
      </c>
      <c r="N14" s="4"/>
      <c r="O14" s="3">
        <f>=B14*H14</f>
      </c>
    </row>
    <row r="15" spans="1:15" x14ac:dyDescent="0.25">
      <c r="A15" s="2" t="s">
        <v>107</v>
      </c>
      <c r="B15" s="4">
        <v>23.5</v>
      </c>
      <c r="C15" s="4" t="s">
        <v>22</v>
      </c>
      <c r="D15" s="4"/>
      <c r="E15" s="4"/>
      <c r="F15" s="4"/>
      <c r="G15" s="4" t="s">
        <v>108</v>
      </c>
      <c r="H15" s="4">
        <v>6.62</v>
      </c>
      <c r="I15" s="4"/>
      <c r="J15" s="4"/>
      <c r="K15" s="4"/>
      <c r="L15" s="4"/>
      <c r="M15" s="4" t="s">
        <v>25</v>
      </c>
      <c r="N15" s="4"/>
      <c r="O15" s="3">
        <f>=B15*H15</f>
      </c>
    </row>
    <row r="16" spans="1:15" x14ac:dyDescent="0.25">
      <c r="A16" s="2" t="s">
        <v>109</v>
      </c>
      <c r="B16" s="4">
        <v>22</v>
      </c>
      <c r="C16" s="4" t="s">
        <v>22</v>
      </c>
      <c r="D16" s="4"/>
      <c r="E16" s="4"/>
      <c r="F16" s="4"/>
      <c r="G16" s="4" t="s">
        <v>110</v>
      </c>
      <c r="H16" s="4">
        <v>6.21</v>
      </c>
      <c r="I16" s="4"/>
      <c r="J16" s="4"/>
      <c r="K16" s="4"/>
      <c r="L16" s="4"/>
      <c r="M16" s="4" t="s">
        <v>25</v>
      </c>
      <c r="N16" s="4"/>
      <c r="O16" s="3">
        <f>=B16*H16</f>
      </c>
    </row>
    <row r="17" spans="1:15" x14ac:dyDescent="0.25">
      <c r="A17" s="2" t="s">
        <v>111</v>
      </c>
      <c r="B17" s="4">
        <v>1.5</v>
      </c>
      <c r="C17" s="4" t="s">
        <v>22</v>
      </c>
      <c r="D17" s="4"/>
      <c r="E17" s="4"/>
      <c r="F17" s="4"/>
      <c r="G17" s="4" t="s">
        <v>112</v>
      </c>
      <c r="H17" s="4">
        <v>6.21</v>
      </c>
      <c r="I17" s="4"/>
      <c r="J17" s="4"/>
      <c r="K17" s="4"/>
      <c r="L17" s="4"/>
      <c r="M17" s="4" t="s">
        <v>25</v>
      </c>
      <c r="N17" s="4"/>
      <c r="O17" s="3">
        <f>=B17*H17</f>
      </c>
    </row>
    <row r="18" spans="1:15" x14ac:dyDescent="0.25">
      <c r="A18" s="2" t="s">
        <v>113</v>
      </c>
      <c r="B18" s="4">
        <v>2</v>
      </c>
      <c r="C18" s="4" t="s">
        <v>22</v>
      </c>
      <c r="D18" s="4"/>
      <c r="E18" s="4"/>
      <c r="F18" s="4"/>
      <c r="G18" s="4" t="s">
        <v>114</v>
      </c>
      <c r="H18" s="4">
        <v>6.21</v>
      </c>
      <c r="I18" s="4"/>
      <c r="J18" s="4"/>
      <c r="K18" s="4"/>
      <c r="L18" s="4"/>
      <c r="M18" s="4" t="s">
        <v>25</v>
      </c>
      <c r="N18" s="4"/>
      <c r="O18" s="3">
        <f>=B18*H18</f>
      </c>
    </row>
    <row r="19" spans="1:15" x14ac:dyDescent="0.25">
      <c r="A19" s="2" t="s">
        <v>115</v>
      </c>
      <c r="B19" s="4">
        <v>0.7</v>
      </c>
      <c r="C19" s="4" t="s">
        <v>22</v>
      </c>
      <c r="D19" s="4"/>
      <c r="E19" s="4"/>
      <c r="F19" s="4"/>
      <c r="G19" s="4" t="s">
        <v>116</v>
      </c>
      <c r="H19" s="4">
        <v>6.21</v>
      </c>
      <c r="I19" s="4"/>
      <c r="J19" s="4"/>
      <c r="K19" s="4"/>
      <c r="L19" s="4"/>
      <c r="M19" s="4" t="s">
        <v>25</v>
      </c>
      <c r="N19" s="4"/>
      <c r="O19" s="3">
        <f>=B19*H19</f>
      </c>
    </row>
    <row r="20" spans="1:15" x14ac:dyDescent="0.25">
      <c r="A20" s="2" t="s">
        <v>117</v>
      </c>
      <c r="B20" s="4">
        <v>7</v>
      </c>
      <c r="C20" s="4" t="s">
        <v>22</v>
      </c>
      <c r="D20" s="4"/>
      <c r="E20" s="4"/>
      <c r="F20" s="4"/>
      <c r="G20" s="4" t="s">
        <v>118</v>
      </c>
      <c r="H20" s="4">
        <v>6.21</v>
      </c>
      <c r="I20" s="4"/>
      <c r="J20" s="4"/>
      <c r="K20" s="4"/>
      <c r="L20" s="4"/>
      <c r="M20" s="4" t="s">
        <v>25</v>
      </c>
      <c r="N20" s="4"/>
      <c r="O20" s="3">
        <f>=B20*H20</f>
      </c>
    </row>
    <row r="21" spans="1:15" x14ac:dyDescent="0.25">
      <c r="A21" s="2" t="s">
        <v>119</v>
      </c>
      <c r="B21" s="4">
        <v>5</v>
      </c>
      <c r="C21" s="4" t="s">
        <v>22</v>
      </c>
      <c r="D21" s="4"/>
      <c r="E21" s="4"/>
      <c r="F21" s="4"/>
      <c r="G21" s="4" t="s">
        <v>120</v>
      </c>
      <c r="H21" s="4">
        <v>6.21</v>
      </c>
      <c r="I21" s="4"/>
      <c r="J21" s="4"/>
      <c r="K21" s="4"/>
      <c r="L21" s="4"/>
      <c r="M21" s="4" t="s">
        <v>25</v>
      </c>
      <c r="N21" s="4"/>
      <c r="O21" s="3">
        <f>=B21*H21</f>
      </c>
    </row>
    <row r="22" spans="1:15" x14ac:dyDescent="0.25">
      <c r="A22" s="2" t="s">
        <v>121</v>
      </c>
      <c r="B22" s="4">
        <v>0.9</v>
      </c>
      <c r="C22" s="4" t="s">
        <v>22</v>
      </c>
      <c r="D22" s="4"/>
      <c r="E22" s="4"/>
      <c r="F22" s="4"/>
      <c r="G22" s="4" t="s">
        <v>122</v>
      </c>
      <c r="H22" s="4">
        <v>10.41</v>
      </c>
      <c r="I22" s="4"/>
      <c r="J22" s="4"/>
      <c r="K22" s="4"/>
      <c r="L22" s="4"/>
      <c r="M22" s="4" t="s">
        <v>25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20</v>
      </c>
      <c r="O23" s="6">
        <f>=SUM(O2:O22)</f>
      </c>
    </row>
  </sheetData>
  <sheetProtection sheet="1" algorithmName="SHA-512" hashValue="m3HkmA2Erv9CtVCxU90RPqOoYfPrA2+Jme4805pvrQxtCaJwLUeI1lZtws5fUt7u3bHys4ADh/sNkAqz68pWVw==" saltValue="F7fFc7rtikKciEYHKLWBg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123</v>
      </c>
      <c r="B2" s="4">
        <v>5.3</v>
      </c>
      <c r="C2" s="4" t="s">
        <v>124</v>
      </c>
      <c r="D2" s="4"/>
      <c r="E2" s="4"/>
      <c r="F2" s="4"/>
      <c r="G2" s="4" t="s">
        <v>125</v>
      </c>
      <c r="H2" s="4"/>
      <c r="I2" s="4"/>
      <c r="J2" s="4">
        <v>4.14</v>
      </c>
      <c r="K2" s="4"/>
      <c r="L2" s="4"/>
      <c r="M2" s="4" t="s">
        <v>25</v>
      </c>
      <c r="N2" s="4">
        <v>137</v>
      </c>
      <c r="O2" s="3">
        <f>=B2*(N2/100)*J2</f>
      </c>
    </row>
    <row r="3" spans="1:15" x14ac:dyDescent="0.25">
      <c r="A3" s="2" t="s">
        <v>126</v>
      </c>
      <c r="B3" s="4">
        <v>20.8</v>
      </c>
      <c r="C3" s="4" t="s">
        <v>124</v>
      </c>
      <c r="D3" s="4"/>
      <c r="E3" s="4"/>
      <c r="F3" s="4"/>
      <c r="G3" s="4" t="s">
        <v>127</v>
      </c>
      <c r="H3" s="4"/>
      <c r="I3" s="4"/>
      <c r="J3" s="4">
        <v>4.14</v>
      </c>
      <c r="K3" s="4"/>
      <c r="L3" s="4"/>
      <c r="M3" s="4" t="s">
        <v>25</v>
      </c>
      <c r="N3" s="4">
        <v>160</v>
      </c>
      <c r="O3" s="3">
        <f>=B3*(N3/100)*J3</f>
      </c>
    </row>
    <row r="4" spans="1:15" x14ac:dyDescent="0.25">
      <c r="A4" s="2" t="s">
        <v>128</v>
      </c>
      <c r="B4" s="4">
        <v>46</v>
      </c>
      <c r="C4" s="4" t="s">
        <v>124</v>
      </c>
      <c r="D4" s="4"/>
      <c r="E4" s="4"/>
      <c r="F4" s="4"/>
      <c r="G4" s="4" t="s">
        <v>129</v>
      </c>
      <c r="H4" s="4"/>
      <c r="I4" s="4"/>
      <c r="J4" s="4">
        <v>5.01</v>
      </c>
      <c r="K4" s="4"/>
      <c r="L4" s="4"/>
      <c r="M4" s="4" t="s">
        <v>25</v>
      </c>
      <c r="N4" s="4">
        <v>137</v>
      </c>
      <c r="O4" s="3">
        <f>=B4*(N4/100)*J4</f>
      </c>
    </row>
    <row r="5" spans="1:15" x14ac:dyDescent="0.25">
      <c r="A5" s="2" t="s">
        <v>130</v>
      </c>
      <c r="B5" s="4">
        <v>44</v>
      </c>
      <c r="C5" s="4" t="s">
        <v>124</v>
      </c>
      <c r="D5" s="4"/>
      <c r="E5" s="4"/>
      <c r="F5" s="4"/>
      <c r="G5" s="4" t="s">
        <v>131</v>
      </c>
      <c r="H5" s="4"/>
      <c r="I5" s="4"/>
      <c r="J5" s="4">
        <v>5.1</v>
      </c>
      <c r="K5" s="4"/>
      <c r="L5" s="4"/>
      <c r="M5" s="4" t="s">
        <v>25</v>
      </c>
      <c r="N5" s="4">
        <v>137</v>
      </c>
      <c r="O5" s="3">
        <f>=B5*(N5/100)*J5</f>
      </c>
    </row>
    <row r="6" spans="1:15" x14ac:dyDescent="0.25">
      <c r="A6" s="2" t="s">
        <v>132</v>
      </c>
      <c r="B6" s="4">
        <v>10.3</v>
      </c>
      <c r="C6" s="4" t="s">
        <v>124</v>
      </c>
      <c r="D6" s="4"/>
      <c r="E6" s="4"/>
      <c r="F6" s="4"/>
      <c r="G6" s="4" t="s">
        <v>133</v>
      </c>
      <c r="H6" s="4"/>
      <c r="I6" s="4"/>
      <c r="J6" s="4"/>
      <c r="K6" s="4"/>
      <c r="L6" s="4"/>
      <c r="M6" s="4" t="s">
        <v>25</v>
      </c>
      <c r="N6" s="4">
        <v>137</v>
      </c>
      <c r="O6" s="3">
        <f>=B6*(N6/100)*J6</f>
      </c>
    </row>
    <row r="7" spans="1:15" x14ac:dyDescent="0.25">
      <c r="A7" s="2" t="s">
        <v>134</v>
      </c>
      <c r="B7" s="4">
        <v>50</v>
      </c>
      <c r="C7" s="4" t="s">
        <v>124</v>
      </c>
      <c r="D7" s="4"/>
      <c r="E7" s="4"/>
      <c r="F7" s="4"/>
      <c r="G7" s="4" t="s">
        <v>135</v>
      </c>
      <c r="H7" s="4"/>
      <c r="I7" s="4"/>
      <c r="J7" s="4">
        <v>4.57</v>
      </c>
      <c r="K7" s="4"/>
      <c r="L7" s="4"/>
      <c r="M7" s="4" t="s">
        <v>25</v>
      </c>
      <c r="N7" s="4">
        <v>137</v>
      </c>
      <c r="O7" s="3">
        <f>=B7*(N7/100)*J7</f>
      </c>
    </row>
    <row r="8" spans="1:15" x14ac:dyDescent="0.25">
      <c r="A8" s="2" t="s">
        <v>136</v>
      </c>
      <c r="B8" s="4">
        <v>24</v>
      </c>
      <c r="C8" s="4" t="s">
        <v>124</v>
      </c>
      <c r="D8" s="4"/>
      <c r="E8" s="4"/>
      <c r="F8" s="4"/>
      <c r="G8" s="4" t="s">
        <v>137</v>
      </c>
      <c r="H8" s="4"/>
      <c r="I8" s="4"/>
      <c r="J8" s="4">
        <v>4.57</v>
      </c>
      <c r="K8" s="4"/>
      <c r="L8" s="4"/>
      <c r="M8" s="4" t="s">
        <v>25</v>
      </c>
      <c r="N8" s="4">
        <v>150</v>
      </c>
      <c r="O8" s="3">
        <f>=B8*(N8/100)*J8</f>
      </c>
    </row>
    <row r="9" spans="1:15" x14ac:dyDescent="0.25">
      <c r="A9" s="2" t="s">
        <v>138</v>
      </c>
      <c r="B9" s="4">
        <v>3.5</v>
      </c>
      <c r="C9" s="4" t="s">
        <v>124</v>
      </c>
      <c r="D9" s="4"/>
      <c r="E9" s="4"/>
      <c r="F9" s="4"/>
      <c r="G9" s="4" t="s">
        <v>139</v>
      </c>
      <c r="H9" s="4"/>
      <c r="I9" s="4"/>
      <c r="J9" s="4">
        <v>1.71</v>
      </c>
      <c r="K9" s="4"/>
      <c r="L9" s="4"/>
      <c r="M9" s="4" t="s">
        <v>25</v>
      </c>
      <c r="N9" s="4">
        <v>137</v>
      </c>
      <c r="O9" s="3">
        <f>=B9*(N9/100)*J9</f>
      </c>
    </row>
    <row r="10" spans="1:15" x14ac:dyDescent="0.25">
      <c r="A10" s="2" t="s">
        <v>140</v>
      </c>
      <c r="B10" s="4">
        <v>43</v>
      </c>
      <c r="C10" s="4" t="s">
        <v>124</v>
      </c>
      <c r="D10" s="4"/>
      <c r="E10" s="4"/>
      <c r="F10" s="4"/>
      <c r="G10" s="4" t="s">
        <v>139</v>
      </c>
      <c r="H10" s="4"/>
      <c r="I10" s="4"/>
      <c r="J10" s="4">
        <v>1.71</v>
      </c>
      <c r="K10" s="4"/>
      <c r="L10" s="4"/>
      <c r="M10" s="4" t="s">
        <v>25</v>
      </c>
      <c r="N10" s="4">
        <v>137</v>
      </c>
      <c r="O10" s="3">
        <f>=B10*(N10/100)*J10</f>
      </c>
    </row>
    <row r="11" spans="1:15" x14ac:dyDescent="0.25">
      <c r="A11" s="2" t="s">
        <v>141</v>
      </c>
      <c r="B11" s="4">
        <v>15.5</v>
      </c>
      <c r="C11" s="4" t="s">
        <v>142</v>
      </c>
      <c r="D11" s="4"/>
      <c r="E11" s="4"/>
      <c r="F11" s="4"/>
      <c r="G11" s="4" t="s">
        <v>143</v>
      </c>
      <c r="H11" s="4"/>
      <c r="I11" s="4">
        <v>262.4</v>
      </c>
      <c r="J11" s="4"/>
      <c r="K11" s="4"/>
      <c r="L11" s="4">
        <v>50</v>
      </c>
      <c r="M11" s="4" t="s">
        <v>25</v>
      </c>
      <c r="N11" s="4">
        <v>160</v>
      </c>
      <c r="O11" s="3">
        <v>0</v>
      </c>
    </row>
    <row r="12" spans="1:15" x14ac:dyDescent="0.25">
      <c r="A12" s="2" t="s">
        <v>144</v>
      </c>
      <c r="B12" s="4">
        <v>5</v>
      </c>
      <c r="C12" s="4" t="s">
        <v>142</v>
      </c>
      <c r="D12" s="4"/>
      <c r="E12" s="4"/>
      <c r="F12" s="4"/>
      <c r="G12" s="4" t="s">
        <v>145</v>
      </c>
      <c r="H12" s="4"/>
      <c r="I12" s="4">
        <v>250.69</v>
      </c>
      <c r="J12" s="4"/>
      <c r="K12" s="4"/>
      <c r="L12" s="4">
        <v>50</v>
      </c>
      <c r="M12" s="4" t="s">
        <v>25</v>
      </c>
      <c r="N12" s="4">
        <v>137</v>
      </c>
      <c r="O12" s="3">
        <v>0</v>
      </c>
    </row>
    <row r="13" spans="1:15" x14ac:dyDescent="0.25">
      <c r="A13" s="2" t="s">
        <v>146</v>
      </c>
      <c r="B13" s="4">
        <v>15</v>
      </c>
      <c r="C13" s="4" t="s">
        <v>124</v>
      </c>
      <c r="D13" s="4"/>
      <c r="E13" s="4"/>
      <c r="F13" s="4"/>
      <c r="G13" s="4" t="s">
        <v>147</v>
      </c>
      <c r="H13" s="4"/>
      <c r="I13" s="4"/>
      <c r="J13" s="4">
        <v>14.29</v>
      </c>
      <c r="K13" s="4"/>
      <c r="L13" s="4"/>
      <c r="M13" s="4" t="s">
        <v>25</v>
      </c>
      <c r="N13" s="4">
        <v>100</v>
      </c>
      <c r="O13" s="3">
        <f>=B13*(N13/100)*J13</f>
      </c>
    </row>
    <row r="14" spans="1:15" x14ac:dyDescent="0.25">
      <c r="A14" s="2" t="s">
        <v>148</v>
      </c>
      <c r="B14" s="4">
        <v>9.5</v>
      </c>
      <c r="C14" s="4" t="s">
        <v>124</v>
      </c>
      <c r="D14" s="4"/>
      <c r="E14" s="4"/>
      <c r="F14" s="4"/>
      <c r="G14" s="4" t="s">
        <v>149</v>
      </c>
      <c r="H14" s="4"/>
      <c r="I14" s="4"/>
      <c r="J14" s="4">
        <v>14.29</v>
      </c>
      <c r="K14" s="4"/>
      <c r="L14" s="4"/>
      <c r="M14" s="4" t="s">
        <v>25</v>
      </c>
      <c r="N14" s="4">
        <v>137</v>
      </c>
      <c r="O14" s="3">
        <f>=B14*(N14/100)*J14</f>
      </c>
    </row>
    <row r="15" spans="1:15" x14ac:dyDescent="0.25">
      <c r="A15" s="2" t="s">
        <v>150</v>
      </c>
      <c r="B15" s="4">
        <v>2.66</v>
      </c>
      <c r="C15" s="4" t="s">
        <v>124</v>
      </c>
      <c r="D15" s="4"/>
      <c r="E15" s="4"/>
      <c r="F15" s="4"/>
      <c r="G15" s="4" t="s">
        <v>151</v>
      </c>
      <c r="H15" s="4"/>
      <c r="I15" s="4"/>
      <c r="J15" s="4">
        <v>11.2</v>
      </c>
      <c r="K15" s="4"/>
      <c r="L15" s="4"/>
      <c r="M15" s="4" t="s">
        <v>25</v>
      </c>
      <c r="N15" s="4">
        <v>152</v>
      </c>
      <c r="O15" s="3">
        <f>=B15*(N15/100)*J15</f>
      </c>
    </row>
    <row r="16" spans="1:15" x14ac:dyDescent="0.25">
      <c r="A16" s="2" t="s">
        <v>152</v>
      </c>
      <c r="B16" s="4">
        <v>11</v>
      </c>
      <c r="C16" s="4" t="s">
        <v>142</v>
      </c>
      <c r="D16" s="4"/>
      <c r="E16" s="4"/>
      <c r="F16" s="4"/>
      <c r="G16" s="4" t="s">
        <v>153</v>
      </c>
      <c r="H16" s="4"/>
      <c r="I16" s="4">
        <v>435.8</v>
      </c>
      <c r="J16" s="4"/>
      <c r="K16" s="4"/>
      <c r="L16" s="4">
        <v>25</v>
      </c>
      <c r="M16" s="4" t="s">
        <v>25</v>
      </c>
      <c r="N16" s="4">
        <v>137</v>
      </c>
      <c r="O16" s="3">
        <v>0</v>
      </c>
    </row>
    <row r="17" spans="1:15" x14ac:dyDescent="0.25">
      <c r="A17" s="2" t="s">
        <v>154</v>
      </c>
      <c r="B17" s="4">
        <v>43.6</v>
      </c>
      <c r="C17" s="4" t="s">
        <v>142</v>
      </c>
      <c r="D17" s="4"/>
      <c r="E17" s="4"/>
      <c r="F17" s="4"/>
      <c r="G17" s="4" t="s">
        <v>155</v>
      </c>
      <c r="H17" s="4"/>
      <c r="I17" s="4">
        <v>213.98</v>
      </c>
      <c r="J17" s="4"/>
      <c r="K17" s="4"/>
      <c r="L17" s="4">
        <v>30</v>
      </c>
      <c r="M17" s="4" t="s">
        <v>25</v>
      </c>
      <c r="N17" s="4">
        <v>137</v>
      </c>
      <c r="O17" s="3">
        <v>0</v>
      </c>
    </row>
    <row r="18" spans="1:15" x14ac:dyDescent="0.25">
      <c r="A18" s="2" t="s">
        <v>156</v>
      </c>
      <c r="B18" s="4">
        <v>0</v>
      </c>
      <c r="C18" s="4" t="s">
        <v>124</v>
      </c>
      <c r="D18" s="4"/>
      <c r="E18" s="4"/>
      <c r="F18" s="4"/>
      <c r="G18" s="4" t="s">
        <v>157</v>
      </c>
      <c r="H18" s="4"/>
      <c r="I18" s="4"/>
      <c r="J18" s="4">
        <v>1.71</v>
      </c>
      <c r="K18" s="4"/>
      <c r="L18" s="4"/>
      <c r="M18" s="4" t="s">
        <v>25</v>
      </c>
      <c r="N18" s="4">
        <v>137</v>
      </c>
      <c r="O18" s="3">
        <f>=B18*(N18/100)*J18</f>
      </c>
    </row>
    <row r="19" spans="1:15" x14ac:dyDescent="0.25">
      <c r="A19" s="2" t="s">
        <v>158</v>
      </c>
      <c r="B19" s="4">
        <v>25.8</v>
      </c>
      <c r="C19" s="4" t="s">
        <v>124</v>
      </c>
      <c r="D19" s="4"/>
      <c r="E19" s="4"/>
      <c r="F19" s="4"/>
      <c r="G19" s="4" t="s">
        <v>159</v>
      </c>
      <c r="H19" s="4"/>
      <c r="I19" s="4"/>
      <c r="J19" s="4">
        <v>1.71</v>
      </c>
      <c r="K19" s="4"/>
      <c r="L19" s="4"/>
      <c r="M19" s="4" t="s">
        <v>25</v>
      </c>
      <c r="N19" s="4">
        <v>137</v>
      </c>
      <c r="O19" s="3">
        <f>=B19*(N19/100)*J19</f>
      </c>
    </row>
    <row r="20" spans="1:15" x14ac:dyDescent="0.25">
      <c r="A20" s="2" t="s">
        <v>160</v>
      </c>
      <c r="B20" s="4">
        <v>0</v>
      </c>
      <c r="C20" s="4" t="s">
        <v>124</v>
      </c>
      <c r="D20" s="4"/>
      <c r="E20" s="4"/>
      <c r="F20" s="4"/>
      <c r="G20" s="4" t="s">
        <v>161</v>
      </c>
      <c r="H20" s="4"/>
      <c r="I20" s="4"/>
      <c r="J20" s="4">
        <v>11.2</v>
      </c>
      <c r="K20" s="4"/>
      <c r="L20" s="4"/>
      <c r="M20" s="4" t="s">
        <v>25</v>
      </c>
      <c r="N20" s="4">
        <v>152</v>
      </c>
      <c r="O20" s="3">
        <f>=B20*(N20/100)*J20</f>
      </c>
    </row>
    <row r="21" spans="1:15" x14ac:dyDescent="0.25">
      <c r="A21" s="2" t="s">
        <v>162</v>
      </c>
      <c r="B21" s="4">
        <v>1.4</v>
      </c>
      <c r="C21" s="4" t="s">
        <v>124</v>
      </c>
      <c r="D21" s="4"/>
      <c r="E21" s="4"/>
      <c r="F21" s="4"/>
      <c r="G21" s="4" t="s">
        <v>161</v>
      </c>
      <c r="H21" s="4"/>
      <c r="I21" s="4"/>
      <c r="J21" s="4">
        <v>11.2</v>
      </c>
      <c r="K21" s="4"/>
      <c r="L21" s="4"/>
      <c r="M21" s="4" t="s">
        <v>25</v>
      </c>
      <c r="N21" s="4">
        <v>152</v>
      </c>
      <c r="O21" s="3">
        <f>=B21*(N21/100)*J21</f>
      </c>
    </row>
    <row r="22" spans="1:15" x14ac:dyDescent="0.25">
      <c r="A22" s="2" t="s">
        <v>163</v>
      </c>
      <c r="B22" s="4">
        <v>2.5</v>
      </c>
      <c r="C22" s="4" t="s">
        <v>142</v>
      </c>
      <c r="D22" s="4"/>
      <c r="E22" s="4"/>
      <c r="F22" s="4"/>
      <c r="G22" s="4" t="s">
        <v>155</v>
      </c>
      <c r="H22" s="4"/>
      <c r="I22" s="4">
        <v>213.98</v>
      </c>
      <c r="J22" s="4"/>
      <c r="K22" s="4"/>
      <c r="L22" s="4">
        <v>30</v>
      </c>
      <c r="M22" s="4" t="s">
        <v>25</v>
      </c>
      <c r="N22" s="4">
        <v>137</v>
      </c>
      <c r="O22" s="3">
        <v>0</v>
      </c>
    </row>
    <row r="23" spans="1:15" x14ac:dyDescent="0.25">
      <c r="A23" s="2" t="s">
        <v>164</v>
      </c>
      <c r="B23" s="4">
        <v>1.7</v>
      </c>
      <c r="C23" s="4" t="s">
        <v>142</v>
      </c>
      <c r="D23" s="4"/>
      <c r="E23" s="4"/>
      <c r="F23" s="4"/>
      <c r="G23" s="4" t="s">
        <v>155</v>
      </c>
      <c r="H23" s="4"/>
      <c r="I23" s="4">
        <v>213.98</v>
      </c>
      <c r="J23" s="4"/>
      <c r="K23" s="4"/>
      <c r="L23" s="4">
        <v>30</v>
      </c>
      <c r="M23" s="4" t="s">
        <v>25</v>
      </c>
      <c r="N23" s="4">
        <v>137</v>
      </c>
      <c r="O23" s="3">
        <v>0</v>
      </c>
    </row>
    <row r="24" spans="1:15" x14ac:dyDescent="0.25">
      <c r="A24" s="2" t="s">
        <v>165</v>
      </c>
      <c r="B24" s="4">
        <v>2</v>
      </c>
      <c r="C24" s="4" t="s">
        <v>142</v>
      </c>
      <c r="D24" s="4"/>
      <c r="E24" s="4"/>
      <c r="F24" s="4"/>
      <c r="G24" s="4" t="s">
        <v>155</v>
      </c>
      <c r="H24" s="4"/>
      <c r="I24" s="4">
        <v>213.98</v>
      </c>
      <c r="J24" s="4"/>
      <c r="K24" s="4"/>
      <c r="L24" s="4">
        <v>30</v>
      </c>
      <c r="M24" s="4" t="s">
        <v>25</v>
      </c>
      <c r="N24" s="4">
        <v>137</v>
      </c>
      <c r="O24" s="3">
        <v>0</v>
      </c>
    </row>
    <row r="25" spans="1:15" x14ac:dyDescent="0.25">
      <c r="A25" s="2" t="s">
        <v>166</v>
      </c>
      <c r="B25" s="4">
        <v>1.5</v>
      </c>
      <c r="C25" s="4" t="s">
        <v>142</v>
      </c>
      <c r="D25" s="4"/>
      <c r="E25" s="4"/>
      <c r="F25" s="4"/>
      <c r="G25" s="4" t="s">
        <v>155</v>
      </c>
      <c r="H25" s="4"/>
      <c r="I25" s="4">
        <v>213.98</v>
      </c>
      <c r="J25" s="4"/>
      <c r="K25" s="4"/>
      <c r="L25" s="4">
        <v>30</v>
      </c>
      <c r="M25" s="4" t="s">
        <v>25</v>
      </c>
      <c r="N25" s="4">
        <v>137</v>
      </c>
      <c r="O25" s="3">
        <v>0</v>
      </c>
    </row>
    <row r="26" spans="1:15" x14ac:dyDescent="0.25">
      <c r="A26" s="2" t="s">
        <v>167</v>
      </c>
      <c r="B26" s="4">
        <v>39.7</v>
      </c>
      <c r="C26" s="4" t="s">
        <v>124</v>
      </c>
      <c r="D26" s="4"/>
      <c r="E26" s="4"/>
      <c r="F26" s="4"/>
      <c r="G26" s="4" t="s">
        <v>168</v>
      </c>
      <c r="H26" s="4"/>
      <c r="I26" s="4"/>
      <c r="J26" s="4"/>
      <c r="K26" s="4"/>
      <c r="L26" s="4"/>
      <c r="M26" s="4" t="s">
        <v>25</v>
      </c>
      <c r="N26" s="4">
        <v>137</v>
      </c>
      <c r="O26" s="3">
        <f>=B26*(N26/100)*J26</f>
      </c>
    </row>
    <row r="27" spans="1:15" x14ac:dyDescent="0.25">
      <c r="A27" s="2" t="s">
        <v>169</v>
      </c>
      <c r="B27" s="4">
        <v>26</v>
      </c>
      <c r="C27" s="4" t="s">
        <v>124</v>
      </c>
      <c r="D27" s="4"/>
      <c r="E27" s="4"/>
      <c r="F27" s="4"/>
      <c r="G27" s="4" t="s">
        <v>170</v>
      </c>
      <c r="H27" s="4"/>
      <c r="I27" s="4"/>
      <c r="J27" s="4"/>
      <c r="K27" s="4"/>
      <c r="L27" s="4"/>
      <c r="M27" s="4" t="s">
        <v>25</v>
      </c>
      <c r="N27" s="4">
        <v>137</v>
      </c>
      <c r="O27" s="3">
        <f>=B27*(N27/100)*J27</f>
      </c>
    </row>
    <row r="28" spans="1:15" x14ac:dyDescent="0.25">
      <c r="A28" s="2" t="s">
        <v>171</v>
      </c>
      <c r="B28" s="4">
        <v>20.7</v>
      </c>
      <c r="C28" s="4" t="s">
        <v>124</v>
      </c>
      <c r="D28" s="4"/>
      <c r="E28" s="4"/>
      <c r="F28" s="4"/>
      <c r="G28" s="4" t="s">
        <v>172</v>
      </c>
      <c r="H28" s="4"/>
      <c r="I28" s="4"/>
      <c r="J28" s="4"/>
      <c r="K28" s="4"/>
      <c r="L28" s="4"/>
      <c r="M28" s="4" t="s">
        <v>25</v>
      </c>
      <c r="N28" s="4">
        <v>137</v>
      </c>
      <c r="O28" s="3">
        <f>=B28*(N28/100)*J28</f>
      </c>
    </row>
    <row r="29" spans="1:15" x14ac:dyDescent="0.25">
      <c r="A29" s="2" t="s">
        <v>173</v>
      </c>
      <c r="B29" s="4">
        <v>5.7</v>
      </c>
      <c r="C29" s="4" t="s">
        <v>124</v>
      </c>
      <c r="D29" s="4"/>
      <c r="E29" s="4"/>
      <c r="F29" s="4"/>
      <c r="G29" s="4" t="s">
        <v>151</v>
      </c>
      <c r="H29" s="4"/>
      <c r="I29" s="4"/>
      <c r="J29" s="4"/>
      <c r="K29" s="4"/>
      <c r="L29" s="4"/>
      <c r="M29" s="4" t="s">
        <v>25</v>
      </c>
      <c r="N29" s="4">
        <v>152</v>
      </c>
      <c r="O29" s="3">
        <f>=B29*(N29/100)*J29</f>
      </c>
    </row>
    <row r="30" spans="1:15" x14ac:dyDescent="0.25">
      <c r="A30" s="2" t="s">
        <v>174</v>
      </c>
      <c r="B30" s="4">
        <v>16.8</v>
      </c>
      <c r="C30" s="4" t="s">
        <v>124</v>
      </c>
      <c r="D30" s="4"/>
      <c r="E30" s="4"/>
      <c r="F30" s="4"/>
      <c r="G30" s="4" t="s">
        <v>125</v>
      </c>
      <c r="H30" s="4"/>
      <c r="I30" s="4"/>
      <c r="J30" s="4">
        <v>4.14</v>
      </c>
      <c r="K30" s="4"/>
      <c r="L30" s="4"/>
      <c r="M30" s="4" t="s">
        <v>25</v>
      </c>
      <c r="N30" s="4">
        <v>137</v>
      </c>
      <c r="O30" s="3">
        <f>=B30*(N30/100)*J30</f>
      </c>
    </row>
    <row r="31" spans="1:15" x14ac:dyDescent="0.25">
      <c r="A31" s="2" t="s">
        <v>175</v>
      </c>
      <c r="B31" s="4">
        <v>12</v>
      </c>
      <c r="C31" s="4" t="s">
        <v>124</v>
      </c>
      <c r="D31" s="4"/>
      <c r="E31" s="4"/>
      <c r="F31" s="4"/>
      <c r="G31" s="4" t="s">
        <v>127</v>
      </c>
      <c r="H31" s="4"/>
      <c r="I31" s="4"/>
      <c r="J31" s="4">
        <v>4.14</v>
      </c>
      <c r="K31" s="4"/>
      <c r="L31" s="4"/>
      <c r="M31" s="4" t="s">
        <v>25</v>
      </c>
      <c r="N31" s="4">
        <v>160</v>
      </c>
      <c r="O31" s="3">
        <f>=B31*(N31/100)*J31</f>
      </c>
    </row>
    <row r="32" spans="1:15" x14ac:dyDescent="0.25">
      <c r="A32" s="2" t="s">
        <v>176</v>
      </c>
      <c r="B32" s="4">
        <v>14.4</v>
      </c>
      <c r="C32" s="4" t="s">
        <v>124</v>
      </c>
      <c r="D32" s="4"/>
      <c r="E32" s="4"/>
      <c r="F32" s="4"/>
      <c r="G32" s="4" t="s">
        <v>127</v>
      </c>
      <c r="H32" s="4"/>
      <c r="I32" s="4"/>
      <c r="J32" s="4">
        <v>4.14</v>
      </c>
      <c r="K32" s="4"/>
      <c r="L32" s="4"/>
      <c r="M32" s="4" t="s">
        <v>25</v>
      </c>
      <c r="N32" s="4">
        <v>160</v>
      </c>
      <c r="O32" s="3">
        <f>=B32*(N32/100)*J32</f>
      </c>
    </row>
    <row r="33" spans="1:15" x14ac:dyDescent="0.25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5" t="s">
        <v>20</v>
      </c>
      <c r="O33" s="6">
        <f>=SUM(O2:O32)</f>
      </c>
    </row>
  </sheetData>
  <sheetProtection sheet="1" algorithmName="SHA-512" hashValue="e4SLsrY4s5ZA1FLNenwIdMhYO7K8bdVYOdKxRoye5wVmbLAH0Fo0pk8NT0n9n0G37jf/OpCg/HJ1WxyAsi47mw==" saltValue="zQjJ8gyKFIELSansCldeE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177</v>
      </c>
      <c r="B2" s="4">
        <v>0</v>
      </c>
      <c r="C2" s="4" t="s">
        <v>22</v>
      </c>
      <c r="D2" s="4"/>
      <c r="E2" s="4"/>
      <c r="F2" s="4"/>
      <c r="G2" s="4" t="s">
        <v>178</v>
      </c>
      <c r="H2" s="4">
        <v>0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179</v>
      </c>
      <c r="B3" s="4">
        <v>0</v>
      </c>
      <c r="C3" s="4" t="s">
        <v>22</v>
      </c>
      <c r="D3" s="4"/>
      <c r="E3" s="4"/>
      <c r="F3" s="4"/>
      <c r="G3" s="4" t="s">
        <v>180</v>
      </c>
      <c r="H3" s="4">
        <v>29.49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181</v>
      </c>
      <c r="B4" s="4">
        <v>0</v>
      </c>
      <c r="C4" s="4" t="s">
        <v>22</v>
      </c>
      <c r="D4" s="4"/>
      <c r="E4" s="4"/>
      <c r="F4" s="4"/>
      <c r="G4" s="4" t="s">
        <v>182</v>
      </c>
      <c r="H4" s="4">
        <v>29.49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183</v>
      </c>
      <c r="B5" s="4">
        <v>0</v>
      </c>
      <c r="C5" s="4" t="s">
        <v>22</v>
      </c>
      <c r="D5" s="4"/>
      <c r="E5" s="4"/>
      <c r="F5" s="4"/>
      <c r="G5" s="4" t="s">
        <v>184</v>
      </c>
      <c r="H5" s="4">
        <v>29.49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185</v>
      </c>
      <c r="B6" s="4">
        <v>3.9</v>
      </c>
      <c r="C6" s="4" t="s">
        <v>22</v>
      </c>
      <c r="D6" s="4"/>
      <c r="E6" s="4"/>
      <c r="F6" s="4"/>
      <c r="G6" s="4" t="s">
        <v>186</v>
      </c>
      <c r="H6" s="4">
        <v>29.49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 t="s">
        <v>187</v>
      </c>
      <c r="B7" s="4">
        <v>0</v>
      </c>
      <c r="C7" s="4" t="s">
        <v>22</v>
      </c>
      <c r="D7" s="4"/>
      <c r="E7" s="4"/>
      <c r="F7" s="4"/>
      <c r="G7" s="4" t="s">
        <v>186</v>
      </c>
      <c r="H7" s="4">
        <v>29.49</v>
      </c>
      <c r="I7" s="4"/>
      <c r="J7" s="4"/>
      <c r="K7" s="4"/>
      <c r="L7" s="4"/>
      <c r="M7" s="4" t="s">
        <v>25</v>
      </c>
      <c r="N7" s="4"/>
      <c r="O7" s="3">
        <f>=B7*H7</f>
      </c>
    </row>
    <row r="8" spans="1:15" x14ac:dyDescent="0.25">
      <c r="A8" s="2" t="s">
        <v>188</v>
      </c>
      <c r="B8" s="4">
        <v>0</v>
      </c>
      <c r="C8" s="4" t="s">
        <v>22</v>
      </c>
      <c r="D8" s="4"/>
      <c r="E8" s="4"/>
      <c r="F8" s="4"/>
      <c r="G8" s="4" t="s">
        <v>186</v>
      </c>
      <c r="H8" s="4">
        <v>29.49</v>
      </c>
      <c r="I8" s="4"/>
      <c r="J8" s="4"/>
      <c r="K8" s="4"/>
      <c r="L8" s="4"/>
      <c r="M8" s="4" t="s">
        <v>25</v>
      </c>
      <c r="N8" s="4"/>
      <c r="O8" s="3">
        <f>=B8*H8</f>
      </c>
    </row>
    <row r="9" spans="1:15" x14ac:dyDescent="0.25">
      <c r="A9" s="2" t="s">
        <v>189</v>
      </c>
      <c r="B9" s="4">
        <v>0</v>
      </c>
      <c r="C9" s="4" t="s">
        <v>22</v>
      </c>
      <c r="D9" s="4"/>
      <c r="E9" s="4"/>
      <c r="F9" s="4"/>
      <c r="G9" s="4" t="s">
        <v>186</v>
      </c>
      <c r="H9" s="4">
        <v>29.49</v>
      </c>
      <c r="I9" s="4"/>
      <c r="J9" s="4"/>
      <c r="K9" s="4"/>
      <c r="L9" s="4"/>
      <c r="M9" s="4" t="s">
        <v>25</v>
      </c>
      <c r="N9" s="4"/>
      <c r="O9" s="3">
        <f>=B9*H9</f>
      </c>
    </row>
    <row r="10" spans="1:15" x14ac:dyDescent="0.25">
      <c r="A10" s="2" t="s">
        <v>190</v>
      </c>
      <c r="B10" s="4">
        <v>0</v>
      </c>
      <c r="C10" s="4" t="s">
        <v>22</v>
      </c>
      <c r="D10" s="4"/>
      <c r="E10" s="4"/>
      <c r="F10" s="4"/>
      <c r="G10" s="4" t="s">
        <v>191</v>
      </c>
      <c r="H10" s="4">
        <v>29.49</v>
      </c>
      <c r="I10" s="4"/>
      <c r="J10" s="4"/>
      <c r="K10" s="4"/>
      <c r="L10" s="4"/>
      <c r="M10" s="4" t="s">
        <v>25</v>
      </c>
      <c r="N10" s="4"/>
      <c r="O10" s="3">
        <f>=B10*H10</f>
      </c>
    </row>
    <row r="11" spans="1:15" x14ac:dyDescent="0.25">
      <c r="A11" s="2" t="s">
        <v>192</v>
      </c>
      <c r="B11" s="4">
        <v>0</v>
      </c>
      <c r="C11" s="4" t="s">
        <v>22</v>
      </c>
      <c r="D11" s="4"/>
      <c r="E11" s="4"/>
      <c r="F11" s="4"/>
      <c r="G11" s="4" t="s">
        <v>193</v>
      </c>
      <c r="H11" s="4">
        <v>29.49</v>
      </c>
      <c r="I11" s="4"/>
      <c r="J11" s="4"/>
      <c r="K11" s="4"/>
      <c r="L11" s="4"/>
      <c r="M11" s="4" t="s">
        <v>25</v>
      </c>
      <c r="N11" s="4"/>
      <c r="O11" s="3">
        <f>=B11*H11</f>
      </c>
    </row>
    <row r="12" spans="1:15" x14ac:dyDescent="0.25">
      <c r="A12" s="2" t="s">
        <v>194</v>
      </c>
      <c r="B12" s="4">
        <v>0</v>
      </c>
      <c r="C12" s="4" t="s">
        <v>22</v>
      </c>
      <c r="D12" s="4"/>
      <c r="E12" s="4"/>
      <c r="F12" s="4"/>
      <c r="G12" s="4" t="s">
        <v>195</v>
      </c>
      <c r="H12" s="4">
        <v>29.49</v>
      </c>
      <c r="I12" s="4"/>
      <c r="J12" s="4"/>
      <c r="K12" s="4"/>
      <c r="L12" s="4"/>
      <c r="M12" s="4" t="s">
        <v>25</v>
      </c>
      <c r="N12" s="4"/>
      <c r="O12" s="3">
        <f>=B12*H12</f>
      </c>
    </row>
    <row r="13" spans="1:15" x14ac:dyDescent="0.25">
      <c r="A13" s="2" t="s">
        <v>196</v>
      </c>
      <c r="B13" s="4">
        <v>0</v>
      </c>
      <c r="C13" s="4" t="s">
        <v>22</v>
      </c>
      <c r="D13" s="4"/>
      <c r="E13" s="4"/>
      <c r="F13" s="4"/>
      <c r="G13" s="4" t="s">
        <v>197</v>
      </c>
      <c r="H13" s="4">
        <v>29.49</v>
      </c>
      <c r="I13" s="4"/>
      <c r="J13" s="4"/>
      <c r="K13" s="4"/>
      <c r="L13" s="4"/>
      <c r="M13" s="4" t="s">
        <v>25</v>
      </c>
      <c r="N13" s="4"/>
      <c r="O13" s="3">
        <f>=B13*H13</f>
      </c>
    </row>
    <row r="14" spans="1:15" x14ac:dyDescent="0.25">
      <c r="A14" s="2" t="s">
        <v>198</v>
      </c>
      <c r="B14" s="4">
        <v>0</v>
      </c>
      <c r="C14" s="4" t="s">
        <v>22</v>
      </c>
      <c r="D14" s="4"/>
      <c r="E14" s="4"/>
      <c r="F14" s="4"/>
      <c r="G14" s="4" t="s">
        <v>199</v>
      </c>
      <c r="H14" s="4">
        <v>29.49</v>
      </c>
      <c r="I14" s="4"/>
      <c r="J14" s="4"/>
      <c r="K14" s="4"/>
      <c r="L14" s="4"/>
      <c r="M14" s="4" t="s">
        <v>25</v>
      </c>
      <c r="N14" s="4"/>
      <c r="O14" s="3">
        <f>=B14*H14</f>
      </c>
    </row>
    <row r="15" spans="1:15" x14ac:dyDescent="0.25">
      <c r="A15" s="2" t="s">
        <v>200</v>
      </c>
      <c r="B15" s="4">
        <v>10</v>
      </c>
      <c r="C15" s="4" t="s">
        <v>22</v>
      </c>
      <c r="D15" s="4"/>
      <c r="E15" s="4"/>
      <c r="F15" s="4"/>
      <c r="G15" s="4" t="s">
        <v>201</v>
      </c>
      <c r="H15" s="4">
        <v>29.49</v>
      </c>
      <c r="I15" s="4"/>
      <c r="J15" s="4"/>
      <c r="K15" s="4"/>
      <c r="L15" s="4"/>
      <c r="M15" s="4" t="s">
        <v>25</v>
      </c>
      <c r="N15" s="4"/>
      <c r="O15" s="3">
        <f>=B15*H15</f>
      </c>
    </row>
    <row r="16" spans="1:15" x14ac:dyDescent="0.25">
      <c r="A16" s="2" t="s">
        <v>202</v>
      </c>
      <c r="B16" s="4">
        <v>0</v>
      </c>
      <c r="C16" s="4" t="s">
        <v>22</v>
      </c>
      <c r="D16" s="4"/>
      <c r="E16" s="4"/>
      <c r="F16" s="4"/>
      <c r="G16" s="4" t="s">
        <v>203</v>
      </c>
      <c r="H16" s="4">
        <v>29.49</v>
      </c>
      <c r="I16" s="4"/>
      <c r="J16" s="4"/>
      <c r="K16" s="4"/>
      <c r="L16" s="4"/>
      <c r="M16" s="4" t="s">
        <v>25</v>
      </c>
      <c r="N16" s="4"/>
      <c r="O16" s="3">
        <f>=B16*H16</f>
      </c>
    </row>
    <row r="17" spans="1:15" x14ac:dyDescent="0.25">
      <c r="A17" s="2" t="s">
        <v>204</v>
      </c>
      <c r="B17" s="4">
        <v>0</v>
      </c>
      <c r="C17" s="4" t="s">
        <v>22</v>
      </c>
      <c r="D17" s="4"/>
      <c r="E17" s="4"/>
      <c r="F17" s="4"/>
      <c r="G17" s="4" t="s">
        <v>205</v>
      </c>
      <c r="H17" s="4">
        <v>29.19</v>
      </c>
      <c r="I17" s="4"/>
      <c r="J17" s="4"/>
      <c r="K17" s="4"/>
      <c r="L17" s="4"/>
      <c r="M17" s="4" t="s">
        <v>25</v>
      </c>
      <c r="N17" s="4"/>
      <c r="O17" s="3">
        <f>=B17*H17</f>
      </c>
    </row>
    <row r="18" spans="1:15" x14ac:dyDescent="0.25">
      <c r="A18" s="2" t="s">
        <v>206</v>
      </c>
      <c r="B18" s="4">
        <v>0</v>
      </c>
      <c r="C18" s="4" t="s">
        <v>22</v>
      </c>
      <c r="D18" s="4"/>
      <c r="E18" s="4"/>
      <c r="F18" s="4"/>
      <c r="G18" s="4" t="s">
        <v>205</v>
      </c>
      <c r="H18" s="4">
        <v>29.49</v>
      </c>
      <c r="I18" s="4"/>
      <c r="J18" s="4"/>
      <c r="K18" s="4"/>
      <c r="L18" s="4"/>
      <c r="M18" s="4" t="s">
        <v>25</v>
      </c>
      <c r="N18" s="4"/>
      <c r="O18" s="3">
        <f>=B18*H18</f>
      </c>
    </row>
    <row r="19" spans="1:15" x14ac:dyDescent="0.25">
      <c r="A19" s="2" t="s">
        <v>207</v>
      </c>
      <c r="B19" s="4">
        <v>0</v>
      </c>
      <c r="C19" s="4" t="s">
        <v>22</v>
      </c>
      <c r="D19" s="4"/>
      <c r="E19" s="4"/>
      <c r="F19" s="4"/>
      <c r="G19" s="4" t="s">
        <v>205</v>
      </c>
      <c r="H19" s="4">
        <v>29.49</v>
      </c>
      <c r="I19" s="4"/>
      <c r="J19" s="4"/>
      <c r="K19" s="4"/>
      <c r="L19" s="4"/>
      <c r="M19" s="4" t="s">
        <v>25</v>
      </c>
      <c r="N19" s="4"/>
      <c r="O19" s="3">
        <f>=B19*H19</f>
      </c>
    </row>
    <row r="20" spans="1:15" x14ac:dyDescent="0.25">
      <c r="A20" s="2" t="s">
        <v>208</v>
      </c>
      <c r="B20" s="4">
        <v>0</v>
      </c>
      <c r="C20" s="4" t="s">
        <v>22</v>
      </c>
      <c r="D20" s="4"/>
      <c r="E20" s="4"/>
      <c r="F20" s="4"/>
      <c r="G20" s="4" t="s">
        <v>205</v>
      </c>
      <c r="H20" s="4">
        <v>29.49</v>
      </c>
      <c r="I20" s="4"/>
      <c r="J20" s="4"/>
      <c r="K20" s="4"/>
      <c r="L20" s="4"/>
      <c r="M20" s="4" t="s">
        <v>25</v>
      </c>
      <c r="N20" s="4"/>
      <c r="O20" s="3">
        <f>=B20*H20</f>
      </c>
    </row>
    <row r="21" spans="1:15" x14ac:dyDescent="0.25">
      <c r="A21" s="2" t="s">
        <v>209</v>
      </c>
      <c r="B21" s="4">
        <v>0</v>
      </c>
      <c r="C21" s="4" t="s">
        <v>22</v>
      </c>
      <c r="D21" s="4"/>
      <c r="E21" s="4"/>
      <c r="F21" s="4"/>
      <c r="G21" s="4" t="s">
        <v>210</v>
      </c>
      <c r="H21" s="4">
        <v>29.49</v>
      </c>
      <c r="I21" s="4"/>
      <c r="J21" s="4"/>
      <c r="K21" s="4"/>
      <c r="L21" s="4"/>
      <c r="M21" s="4" t="s">
        <v>25</v>
      </c>
      <c r="N21" s="4"/>
      <c r="O21" s="3">
        <f>=B21*H21</f>
      </c>
    </row>
    <row r="22" spans="1:15" x14ac:dyDescent="0.25">
      <c r="A22" s="2" t="s">
        <v>211</v>
      </c>
      <c r="B22" s="4">
        <v>0</v>
      </c>
      <c r="C22" s="4" t="s">
        <v>22</v>
      </c>
      <c r="D22" s="4"/>
      <c r="E22" s="4"/>
      <c r="F22" s="4"/>
      <c r="G22" s="4" t="s">
        <v>212</v>
      </c>
      <c r="H22" s="4">
        <v>29.49</v>
      </c>
      <c r="I22" s="4"/>
      <c r="J22" s="4"/>
      <c r="K22" s="4"/>
      <c r="L22" s="4"/>
      <c r="M22" s="4" t="s">
        <v>25</v>
      </c>
      <c r="N22" s="4"/>
      <c r="O22" s="3">
        <f>=B22*H22</f>
      </c>
    </row>
    <row r="23" spans="1:15" x14ac:dyDescent="0.25">
      <c r="A23" s="2" t="s">
        <v>213</v>
      </c>
      <c r="B23" s="4">
        <v>0</v>
      </c>
      <c r="C23" s="4" t="s">
        <v>22</v>
      </c>
      <c r="D23" s="4"/>
      <c r="E23" s="4"/>
      <c r="F23" s="4"/>
      <c r="G23" s="4" t="s">
        <v>214</v>
      </c>
      <c r="H23" s="4">
        <v>121.89</v>
      </c>
      <c r="I23" s="4"/>
      <c r="J23" s="4"/>
      <c r="K23" s="4"/>
      <c r="L23" s="4"/>
      <c r="M23" s="4" t="s">
        <v>25</v>
      </c>
      <c r="N23" s="4"/>
      <c r="O23" s="3">
        <f>=B23*H23</f>
      </c>
    </row>
    <row r="24" spans="1:15" x14ac:dyDescent="0.25">
      <c r="A24" s="2" t="s">
        <v>215</v>
      </c>
      <c r="B24" s="4">
        <v>0</v>
      </c>
      <c r="C24" s="4" t="s">
        <v>22</v>
      </c>
      <c r="D24" s="4"/>
      <c r="E24" s="4"/>
      <c r="F24" s="4"/>
      <c r="G24" s="4" t="s">
        <v>214</v>
      </c>
      <c r="H24" s="4">
        <v>121.89</v>
      </c>
      <c r="I24" s="4"/>
      <c r="J24" s="4"/>
      <c r="K24" s="4"/>
      <c r="L24" s="4"/>
      <c r="M24" s="4" t="s">
        <v>25</v>
      </c>
      <c r="N24" s="4"/>
      <c r="O24" s="3">
        <f>=B24*H24</f>
      </c>
    </row>
    <row r="25" spans="1:15" x14ac:dyDescent="0.25">
      <c r="A25" s="2" t="s">
        <v>216</v>
      </c>
      <c r="B25" s="4">
        <v>0</v>
      </c>
      <c r="C25" s="4" t="s">
        <v>22</v>
      </c>
      <c r="D25" s="4"/>
      <c r="E25" s="4"/>
      <c r="F25" s="4"/>
      <c r="G25" s="4" t="s">
        <v>217</v>
      </c>
      <c r="H25" s="4">
        <v>29.49</v>
      </c>
      <c r="I25" s="4"/>
      <c r="J25" s="4"/>
      <c r="K25" s="4"/>
      <c r="L25" s="4"/>
      <c r="M25" s="4" t="s">
        <v>25</v>
      </c>
      <c r="N25" s="4"/>
      <c r="O25" s="3">
        <f>=B25*H25</f>
      </c>
    </row>
    <row r="26" spans="1:15" x14ac:dyDescent="0.25">
      <c r="A26" s="2" t="s">
        <v>218</v>
      </c>
      <c r="B26" s="4">
        <v>0</v>
      </c>
      <c r="C26" s="4" t="s">
        <v>22</v>
      </c>
      <c r="D26" s="4"/>
      <c r="E26" s="4"/>
      <c r="F26" s="4"/>
      <c r="G26" s="4" t="s">
        <v>219</v>
      </c>
      <c r="H26" s="4">
        <v>52.63</v>
      </c>
      <c r="I26" s="4"/>
      <c r="J26" s="4"/>
      <c r="K26" s="4"/>
      <c r="L26" s="4"/>
      <c r="M26" s="4" t="s">
        <v>25</v>
      </c>
      <c r="N26" s="4"/>
      <c r="O26" s="3">
        <f>=B26*H26</f>
      </c>
    </row>
    <row r="27" spans="1:15" x14ac:dyDescent="0.25">
      <c r="A27" s="2" t="s">
        <v>220</v>
      </c>
      <c r="B27" s="4">
        <v>3.5</v>
      </c>
      <c r="C27" s="4" t="s">
        <v>22</v>
      </c>
      <c r="D27" s="4"/>
      <c r="E27" s="4"/>
      <c r="F27" s="4"/>
      <c r="G27" s="4" t="s">
        <v>221</v>
      </c>
      <c r="H27" s="4">
        <v>81.55</v>
      </c>
      <c r="I27" s="4"/>
      <c r="J27" s="4"/>
      <c r="K27" s="4"/>
      <c r="L27" s="4"/>
      <c r="M27" s="4" t="s">
        <v>25</v>
      </c>
      <c r="N27" s="4"/>
      <c r="O27" s="3">
        <f>=B27*H27</f>
      </c>
    </row>
    <row r="28" spans="1:15" x14ac:dyDescent="0.25">
      <c r="A28" s="2" t="s">
        <v>222</v>
      </c>
      <c r="B28" s="4">
        <v>5</v>
      </c>
      <c r="C28" s="4" t="s">
        <v>22</v>
      </c>
      <c r="D28" s="4"/>
      <c r="E28" s="4"/>
      <c r="F28" s="4"/>
      <c r="G28" s="4" t="s">
        <v>223</v>
      </c>
      <c r="H28" s="4">
        <v>81.55</v>
      </c>
      <c r="I28" s="4"/>
      <c r="J28" s="4"/>
      <c r="K28" s="4"/>
      <c r="L28" s="4"/>
      <c r="M28" s="4" t="s">
        <v>25</v>
      </c>
      <c r="N28" s="4"/>
      <c r="O28" s="3">
        <f>=B28*H28</f>
      </c>
    </row>
    <row r="29" spans="1:15" x14ac:dyDescent="0.25">
      <c r="A29" s="2" t="s">
        <v>224</v>
      </c>
      <c r="B29" s="4">
        <v>0</v>
      </c>
      <c r="C29" s="4" t="s">
        <v>22</v>
      </c>
      <c r="D29" s="4"/>
      <c r="E29" s="4"/>
      <c r="F29" s="4"/>
      <c r="G29" s="4" t="s">
        <v>225</v>
      </c>
      <c r="H29" s="4">
        <v>81.55</v>
      </c>
      <c r="I29" s="4"/>
      <c r="J29" s="4"/>
      <c r="K29" s="4"/>
      <c r="L29" s="4"/>
      <c r="M29" s="4" t="s">
        <v>25</v>
      </c>
      <c r="N29" s="4"/>
      <c r="O29" s="3">
        <f>=B29*H29</f>
      </c>
    </row>
    <row r="30" spans="1:15" x14ac:dyDescent="0.25">
      <c r="A30" s="2" t="s">
        <v>226</v>
      </c>
      <c r="B30" s="4">
        <v>0</v>
      </c>
      <c r="C30" s="4" t="s">
        <v>22</v>
      </c>
      <c r="D30" s="4"/>
      <c r="E30" s="4"/>
      <c r="F30" s="4"/>
      <c r="G30" s="4" t="s">
        <v>227</v>
      </c>
      <c r="H30" s="4">
        <v>81.55</v>
      </c>
      <c r="I30" s="4"/>
      <c r="J30" s="4"/>
      <c r="K30" s="4"/>
      <c r="L30" s="4"/>
      <c r="M30" s="4" t="s">
        <v>25</v>
      </c>
      <c r="N30" s="4"/>
      <c r="O30" s="3">
        <f>=B30*H30</f>
      </c>
    </row>
    <row r="31" spans="1:15" x14ac:dyDescent="0.25">
      <c r="A31" s="2" t="s">
        <v>228</v>
      </c>
      <c r="B31" s="4">
        <v>2</v>
      </c>
      <c r="C31" s="4" t="s">
        <v>22</v>
      </c>
      <c r="D31" s="4"/>
      <c r="E31" s="4"/>
      <c r="F31" s="4"/>
      <c r="G31" s="4" t="s">
        <v>229</v>
      </c>
      <c r="H31" s="4">
        <v>17.93</v>
      </c>
      <c r="I31" s="4"/>
      <c r="J31" s="4"/>
      <c r="K31" s="4"/>
      <c r="L31" s="4"/>
      <c r="M31" s="4" t="s">
        <v>25</v>
      </c>
      <c r="N31" s="4"/>
      <c r="O31" s="3">
        <f>=B31*H31</f>
      </c>
    </row>
    <row r="32" spans="1:15" x14ac:dyDescent="0.25">
      <c r="A32" s="2" t="s">
        <v>230</v>
      </c>
      <c r="B32" s="4">
        <v>0</v>
      </c>
      <c r="C32" s="4" t="s">
        <v>22</v>
      </c>
      <c r="D32" s="4"/>
      <c r="E32" s="4"/>
      <c r="F32" s="4"/>
      <c r="G32" s="4" t="s">
        <v>231</v>
      </c>
      <c r="H32" s="4">
        <v>0</v>
      </c>
      <c r="I32" s="4"/>
      <c r="J32" s="4"/>
      <c r="K32" s="4"/>
      <c r="L32" s="4"/>
      <c r="M32" s="4" t="s">
        <v>25</v>
      </c>
      <c r="N32" s="4"/>
      <c r="O32" s="3">
        <f>=B32*H32</f>
      </c>
    </row>
    <row r="33" spans="1:15" x14ac:dyDescent="0.25">
      <c r="A33" s="2" t="s">
        <v>232</v>
      </c>
      <c r="B33" s="4">
        <v>20</v>
      </c>
      <c r="C33" s="4" t="s">
        <v>22</v>
      </c>
      <c r="D33" s="4"/>
      <c r="E33" s="4"/>
      <c r="F33" s="4"/>
      <c r="G33" s="4" t="s">
        <v>233</v>
      </c>
      <c r="H33" s="4">
        <v>0</v>
      </c>
      <c r="I33" s="4"/>
      <c r="J33" s="4"/>
      <c r="K33" s="4"/>
      <c r="L33" s="4"/>
      <c r="M33" s="4" t="s">
        <v>25</v>
      </c>
      <c r="N33" s="4"/>
      <c r="O33" s="3">
        <f>=B33*H33</f>
      </c>
    </row>
    <row r="34" spans="1:15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5" t="s">
        <v>20</v>
      </c>
      <c r="O34" s="6">
        <f>=SUM(O2:O33)</f>
      </c>
    </row>
  </sheetData>
  <sheetProtection sheet="1" algorithmName="SHA-512" hashValue="0hgZMbD6AlY4MsKUYO4MmGWOGi29hyeeRy7Swt8lmTQbq+cRfIUwE2mI5f895KMQXPoJOZvkAxl0JPtVGnO2fw==" saltValue="oSfcuhg78KlGbsKEcRT5F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234</v>
      </c>
      <c r="B2" s="4">
        <v>6</v>
      </c>
      <c r="C2" s="4" t="s">
        <v>16</v>
      </c>
      <c r="D2" s="4"/>
      <c r="E2" s="4"/>
      <c r="F2" s="4"/>
      <c r="G2" s="4" t="s">
        <v>235</v>
      </c>
      <c r="H2" s="4"/>
      <c r="I2" s="4">
        <v>14.65</v>
      </c>
      <c r="J2" s="4"/>
      <c r="K2" s="4"/>
      <c r="L2" s="4"/>
      <c r="M2" s="4" t="s">
        <v>236</v>
      </c>
      <c r="N2" s="4"/>
      <c r="O2" s="3">
        <f>=B2*I2</f>
      </c>
    </row>
    <row r="3" spans="1:15" x14ac:dyDescent="0.25">
      <c r="A3" s="2" t="s">
        <v>237</v>
      </c>
      <c r="B3" s="4">
        <v>2</v>
      </c>
      <c r="C3" s="4" t="s">
        <v>16</v>
      </c>
      <c r="D3" s="4"/>
      <c r="E3" s="4"/>
      <c r="F3" s="4"/>
      <c r="G3" s="4" t="s">
        <v>238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239</v>
      </c>
      <c r="B4" s="4">
        <v>0</v>
      </c>
      <c r="C4" s="4" t="s">
        <v>16</v>
      </c>
      <c r="D4" s="4"/>
      <c r="E4" s="4"/>
      <c r="F4" s="4"/>
      <c r="G4" s="4" t="s">
        <v>240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241</v>
      </c>
      <c r="B5" s="4">
        <v>0</v>
      </c>
      <c r="C5" s="4" t="s">
        <v>16</v>
      </c>
      <c r="D5" s="4"/>
      <c r="E5" s="4"/>
      <c r="F5" s="4"/>
      <c r="G5" s="4" t="s">
        <v>242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243</v>
      </c>
      <c r="B6" s="4">
        <v>0</v>
      </c>
      <c r="C6" s="4" t="s">
        <v>16</v>
      </c>
      <c r="D6" s="4"/>
      <c r="E6" s="4"/>
      <c r="F6" s="4"/>
      <c r="G6" s="4" t="s">
        <v>244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245</v>
      </c>
      <c r="B7" s="4">
        <v>0</v>
      </c>
      <c r="C7" s="4" t="s">
        <v>16</v>
      </c>
      <c r="D7" s="4"/>
      <c r="E7" s="4"/>
      <c r="F7" s="4"/>
      <c r="G7" s="4" t="s">
        <v>246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20</v>
      </c>
      <c r="O8" s="6">
        <f>=SUM(O2:O7)</f>
      </c>
    </row>
  </sheetData>
  <sheetProtection sheet="1" algorithmName="SHA-512" hashValue="T2VmkiGmbZDMBSolsp7Uqt60QDT7GwVz7GckBy9xZDMaUJ5/91sQ+Slb64k9EWgU/S2rU0AH6dFtDmDOIpmlWA==" saltValue="8H/5XZ4uusjOkR/XjT4xV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247</v>
      </c>
      <c r="B2" s="4">
        <v>8</v>
      </c>
      <c r="C2" s="4" t="s">
        <v>22</v>
      </c>
      <c r="D2" s="4"/>
      <c r="E2" s="4"/>
      <c r="F2" s="4"/>
      <c r="G2" s="4" t="s">
        <v>248</v>
      </c>
      <c r="H2" s="4">
        <v>10.55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249</v>
      </c>
      <c r="B3" s="4">
        <v>6</v>
      </c>
      <c r="C3" s="4" t="s">
        <v>22</v>
      </c>
      <c r="D3" s="4"/>
      <c r="E3" s="4"/>
      <c r="F3" s="4"/>
      <c r="G3" s="4" t="s">
        <v>248</v>
      </c>
      <c r="H3" s="4">
        <v>10.55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250</v>
      </c>
      <c r="B4" s="4">
        <v>1.3</v>
      </c>
      <c r="C4" s="4" t="s">
        <v>22</v>
      </c>
      <c r="D4" s="4"/>
      <c r="E4" s="4"/>
      <c r="F4" s="4"/>
      <c r="G4" s="4" t="s">
        <v>251</v>
      </c>
      <c r="H4" s="4">
        <v>10.55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20</v>
      </c>
      <c r="O5" s="6">
        <f>=SUM(O2:O4)</f>
      </c>
    </row>
  </sheetData>
  <sheetProtection sheet="1" algorithmName="SHA-512" hashValue="u3bw3bgaEPrJOQmq6Ba6w/oppKhoImFPgwm0dSpXnboBWtRRyn9tI96XbVj2a4QEjyrZqJ+ZMjLuOuvO0ccOVA==" saltValue="OGZjoclJGcVqzk3RLi3ab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252</v>
      </c>
      <c r="B2" s="4">
        <v>5</v>
      </c>
      <c r="C2" s="4" t="s">
        <v>16</v>
      </c>
      <c r="D2" s="4"/>
      <c r="E2" s="4" t="s">
        <v>253</v>
      </c>
      <c r="F2" s="4"/>
      <c r="G2" s="4" t="s">
        <v>254</v>
      </c>
      <c r="H2" s="4"/>
      <c r="I2" s="4">
        <v>45.75</v>
      </c>
      <c r="J2" s="4"/>
      <c r="K2" s="4"/>
      <c r="L2" s="4"/>
      <c r="M2" s="4" t="s">
        <v>19</v>
      </c>
      <c r="N2" s="4"/>
      <c r="O2" s="3">
        <f>=B2*I2</f>
      </c>
    </row>
    <row r="3" spans="1:15" x14ac:dyDescent="0.25">
      <c r="A3" s="2" t="s">
        <v>255</v>
      </c>
      <c r="B3" s="4">
        <v>1</v>
      </c>
      <c r="C3" s="4" t="s">
        <v>16</v>
      </c>
      <c r="D3" s="4"/>
      <c r="E3" s="4" t="s">
        <v>256</v>
      </c>
      <c r="F3" s="4"/>
      <c r="G3" s="4" t="s">
        <v>257</v>
      </c>
      <c r="H3" s="4"/>
      <c r="I3" s="4">
        <v>21.75</v>
      </c>
      <c r="J3" s="4"/>
      <c r="K3" s="4"/>
      <c r="L3" s="4"/>
      <c r="M3" s="4" t="s">
        <v>19</v>
      </c>
      <c r="N3" s="4"/>
      <c r="O3" s="3">
        <f>=B3*I3</f>
      </c>
    </row>
    <row r="4" spans="1:15" x14ac:dyDescent="0.25">
      <c r="A4" s="2" t="s">
        <v>258</v>
      </c>
      <c r="B4" s="4">
        <v>6</v>
      </c>
      <c r="C4" s="4" t="s">
        <v>16</v>
      </c>
      <c r="D4" s="4"/>
      <c r="E4" s="4" t="s">
        <v>259</v>
      </c>
      <c r="F4" s="4"/>
      <c r="G4" s="4" t="s">
        <v>257</v>
      </c>
      <c r="H4" s="4"/>
      <c r="I4" s="4">
        <v>17.98</v>
      </c>
      <c r="J4" s="4"/>
      <c r="K4" s="4"/>
      <c r="L4" s="4"/>
      <c r="M4" s="4" t="s">
        <v>19</v>
      </c>
      <c r="N4" s="4"/>
      <c r="O4" s="3">
        <f>=B4*I4</f>
      </c>
    </row>
    <row r="5" spans="1:15" x14ac:dyDescent="0.25">
      <c r="A5" s="2" t="s">
        <v>260</v>
      </c>
      <c r="B5" s="4">
        <v>2</v>
      </c>
      <c r="C5" s="4" t="s">
        <v>16</v>
      </c>
      <c r="D5" s="4"/>
      <c r="E5" s="4" t="s">
        <v>261</v>
      </c>
      <c r="F5" s="4"/>
      <c r="G5" s="4" t="s">
        <v>257</v>
      </c>
      <c r="H5" s="4"/>
      <c r="I5" s="4">
        <v>14.38</v>
      </c>
      <c r="J5" s="4"/>
      <c r="K5" s="4"/>
      <c r="L5" s="4"/>
      <c r="M5" s="4" t="s">
        <v>19</v>
      </c>
      <c r="N5" s="4"/>
      <c r="O5" s="3">
        <f>=B5*I5</f>
      </c>
    </row>
    <row r="6" spans="1:15" x14ac:dyDescent="0.25">
      <c r="A6" s="2" t="s">
        <v>262</v>
      </c>
      <c r="B6" s="4">
        <v>1</v>
      </c>
      <c r="C6" s="4" t="s">
        <v>16</v>
      </c>
      <c r="D6" s="4"/>
      <c r="E6" s="4" t="s">
        <v>263</v>
      </c>
      <c r="F6" s="4"/>
      <c r="G6" s="4" t="s">
        <v>257</v>
      </c>
      <c r="H6" s="4"/>
      <c r="I6" s="4">
        <v>14.39</v>
      </c>
      <c r="J6" s="4"/>
      <c r="K6" s="4"/>
      <c r="L6" s="4"/>
      <c r="M6" s="4" t="s">
        <v>19</v>
      </c>
      <c r="N6" s="4"/>
      <c r="O6" s="3">
        <f>=B6*I6</f>
      </c>
    </row>
    <row r="7" spans="1:15" x14ac:dyDescent="0.25">
      <c r="A7" s="2" t="s">
        <v>264</v>
      </c>
      <c r="B7" s="4">
        <v>16</v>
      </c>
      <c r="C7" s="4" t="s">
        <v>16</v>
      </c>
      <c r="D7" s="4"/>
      <c r="E7" s="4"/>
      <c r="F7" s="4"/>
      <c r="G7" s="4" t="s">
        <v>265</v>
      </c>
      <c r="H7" s="4"/>
      <c r="I7" s="4">
        <v>6.37</v>
      </c>
      <c r="J7" s="4"/>
      <c r="K7" s="4"/>
      <c r="L7" s="4"/>
      <c r="M7" s="4" t="s">
        <v>19</v>
      </c>
      <c r="N7" s="4"/>
      <c r="O7" s="3">
        <f>=B7*I7</f>
      </c>
    </row>
    <row r="8" spans="1:15" x14ac:dyDescent="0.25">
      <c r="A8" s="2" t="s">
        <v>266</v>
      </c>
      <c r="B8" s="4">
        <v>0</v>
      </c>
      <c r="C8" s="4" t="s">
        <v>16</v>
      </c>
      <c r="D8" s="4"/>
      <c r="E8" s="4"/>
      <c r="F8" s="4"/>
      <c r="G8" s="4" t="s">
        <v>267</v>
      </c>
      <c r="H8" s="4"/>
      <c r="I8" s="4">
        <v>0</v>
      </c>
      <c r="J8" s="4"/>
      <c r="K8" s="4"/>
      <c r="L8" s="4"/>
      <c r="M8" s="4" t="s">
        <v>19</v>
      </c>
      <c r="N8" s="4"/>
      <c r="O8" s="3">
        <f>=B8*I8</f>
      </c>
    </row>
    <row r="9" spans="1:15" x14ac:dyDescent="0.25">
      <c r="A9" s="2" t="s">
        <v>268</v>
      </c>
      <c r="B9" s="4">
        <v>2</v>
      </c>
      <c r="C9" s="4" t="s">
        <v>16</v>
      </c>
      <c r="D9" s="4"/>
      <c r="E9" s="4"/>
      <c r="F9" s="4"/>
      <c r="G9" s="4" t="s">
        <v>269</v>
      </c>
      <c r="H9" s="4"/>
      <c r="I9" s="4">
        <v>5.61</v>
      </c>
      <c r="J9" s="4"/>
      <c r="K9" s="4"/>
      <c r="L9" s="4"/>
      <c r="M9" s="4" t="s">
        <v>19</v>
      </c>
      <c r="N9" s="4"/>
      <c r="O9" s="3">
        <f>=B9*I9</f>
      </c>
    </row>
    <row r="10" spans="1:15" x14ac:dyDescent="0.25">
      <c r="A10" s="2" t="s">
        <v>270</v>
      </c>
      <c r="B10" s="4">
        <v>1</v>
      </c>
      <c r="C10" s="4" t="s">
        <v>16</v>
      </c>
      <c r="D10" s="4"/>
      <c r="E10" s="4"/>
      <c r="F10" s="4"/>
      <c r="G10" s="4" t="s">
        <v>271</v>
      </c>
      <c r="H10" s="4"/>
      <c r="I10" s="4">
        <v>2.49</v>
      </c>
      <c r="J10" s="4"/>
      <c r="K10" s="4"/>
      <c r="L10" s="4"/>
      <c r="M10" s="4" t="s">
        <v>19</v>
      </c>
      <c r="N10" s="4"/>
      <c r="O10" s="3">
        <f>=B10*I10</f>
      </c>
    </row>
    <row r="11" spans="1:15" x14ac:dyDescent="0.25">
      <c r="A11" s="2" t="s">
        <v>272</v>
      </c>
      <c r="B11" s="4">
        <v>13</v>
      </c>
      <c r="C11" s="4" t="s">
        <v>16</v>
      </c>
      <c r="D11" s="4"/>
      <c r="E11" s="4"/>
      <c r="F11" s="4"/>
      <c r="G11" s="4" t="s">
        <v>273</v>
      </c>
      <c r="H11" s="4"/>
      <c r="I11" s="4">
        <v>5.25</v>
      </c>
      <c r="J11" s="4"/>
      <c r="K11" s="4"/>
      <c r="L11" s="4"/>
      <c r="M11" s="4" t="s">
        <v>19</v>
      </c>
      <c r="N11" s="4"/>
      <c r="O11" s="3">
        <f>=B11*I11</f>
      </c>
    </row>
    <row r="12" spans="1:15" x14ac:dyDescent="0.25">
      <c r="A12" s="2" t="s">
        <v>274</v>
      </c>
      <c r="B12" s="4">
        <v>2</v>
      </c>
      <c r="C12" s="4" t="s">
        <v>16</v>
      </c>
      <c r="D12" s="4"/>
      <c r="E12" s="4"/>
      <c r="F12" s="4"/>
      <c r="G12" s="4" t="s">
        <v>275</v>
      </c>
      <c r="H12" s="4"/>
      <c r="I12" s="4">
        <v>5.77</v>
      </c>
      <c r="J12" s="4"/>
      <c r="K12" s="4"/>
      <c r="L12" s="4"/>
      <c r="M12" s="4" t="s">
        <v>19</v>
      </c>
      <c r="N12" s="4"/>
      <c r="O12" s="3">
        <f>=B12*I12</f>
      </c>
    </row>
    <row r="13" spans="1:15" x14ac:dyDescent="0.25">
      <c r="A13" s="2" t="s">
        <v>276</v>
      </c>
      <c r="B13" s="4">
        <v>4</v>
      </c>
      <c r="C13" s="4" t="s">
        <v>16</v>
      </c>
      <c r="D13" s="4"/>
      <c r="E13" s="4" t="s">
        <v>277</v>
      </c>
      <c r="F13" s="4"/>
      <c r="G13" s="4" t="s">
        <v>278</v>
      </c>
      <c r="H13" s="4"/>
      <c r="I13" s="4">
        <v>3.53</v>
      </c>
      <c r="J13" s="4"/>
      <c r="K13" s="4"/>
      <c r="L13" s="4"/>
      <c r="M13" s="4" t="s">
        <v>19</v>
      </c>
      <c r="N13" s="4"/>
      <c r="O13" s="3">
        <f>=B13*I13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20</v>
      </c>
      <c r="O14" s="6">
        <f>=SUM(O2:O13)</f>
      </c>
    </row>
  </sheetData>
  <sheetProtection sheet="1" algorithmName="SHA-512" hashValue="zXLtW/FsohYhqipmLErO//i1mJDJ1JnlO9mz1IbI8jOaAw9zl9EyWAX4MoOT866f2pQTy6/eFwcICQdqwOSQBQ==" saltValue="KV/naAHbd3BOPZAS5pOka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279</v>
      </c>
      <c r="B2" s="4"/>
      <c r="C2" s="4" t="s">
        <v>22</v>
      </c>
      <c r="D2" s="4"/>
      <c r="E2" s="4"/>
      <c r="F2" s="4"/>
      <c r="G2" s="4" t="s">
        <v>280</v>
      </c>
      <c r="H2" s="4"/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281</v>
      </c>
      <c r="B3" s="4"/>
      <c r="C3" s="4" t="s">
        <v>22</v>
      </c>
      <c r="D3" s="4"/>
      <c r="E3" s="4"/>
      <c r="F3" s="4"/>
      <c r="G3" s="4" t="s">
        <v>280</v>
      </c>
      <c r="H3" s="4"/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282</v>
      </c>
      <c r="B4" s="4">
        <v>0</v>
      </c>
      <c r="C4" s="4" t="s">
        <v>22</v>
      </c>
      <c r="D4" s="4"/>
      <c r="E4" s="4"/>
      <c r="F4" s="4"/>
      <c r="G4" s="4" t="s">
        <v>283</v>
      </c>
      <c r="H4" s="4">
        <v>14.17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284</v>
      </c>
      <c r="B5" s="4">
        <v>0</v>
      </c>
      <c r="C5" s="4" t="s">
        <v>22</v>
      </c>
      <c r="D5" s="4"/>
      <c r="E5" s="4"/>
      <c r="F5" s="4"/>
      <c r="G5" s="4" t="s">
        <v>283</v>
      </c>
      <c r="H5" s="4">
        <v>14.17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285</v>
      </c>
      <c r="B6" s="4">
        <v>0</v>
      </c>
      <c r="C6" s="4" t="s">
        <v>22</v>
      </c>
      <c r="D6" s="4"/>
      <c r="E6" s="4"/>
      <c r="F6" s="4"/>
      <c r="G6" s="4" t="s">
        <v>286</v>
      </c>
      <c r="H6" s="4">
        <v>4.66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 t="s">
        <v>287</v>
      </c>
      <c r="B7" s="4">
        <v>0</v>
      </c>
      <c r="C7" s="4" t="s">
        <v>22</v>
      </c>
      <c r="D7" s="4"/>
      <c r="E7" s="4"/>
      <c r="F7" s="4"/>
      <c r="G7" s="4" t="s">
        <v>286</v>
      </c>
      <c r="H7" s="4">
        <v>4.66</v>
      </c>
      <c r="I7" s="4"/>
      <c r="J7" s="4"/>
      <c r="K7" s="4"/>
      <c r="L7" s="4"/>
      <c r="M7" s="4" t="s">
        <v>25</v>
      </c>
      <c r="N7" s="4"/>
      <c r="O7" s="3">
        <f>=B7*H7</f>
      </c>
    </row>
    <row r="8" spans="1:15" x14ac:dyDescent="0.25">
      <c r="A8" s="2" t="s">
        <v>288</v>
      </c>
      <c r="B8" s="4">
        <v>0</v>
      </c>
      <c r="C8" s="4" t="s">
        <v>22</v>
      </c>
      <c r="D8" s="4"/>
      <c r="E8" s="4"/>
      <c r="F8" s="4"/>
      <c r="G8" s="4" t="s">
        <v>286</v>
      </c>
      <c r="H8" s="4">
        <v>4.66</v>
      </c>
      <c r="I8" s="4"/>
      <c r="J8" s="4"/>
      <c r="K8" s="4"/>
      <c r="L8" s="4"/>
      <c r="M8" s="4" t="s">
        <v>25</v>
      </c>
      <c r="N8" s="4"/>
      <c r="O8" s="3">
        <f>=B8*H8</f>
      </c>
    </row>
    <row r="9" spans="1:15" x14ac:dyDescent="0.25">
      <c r="A9" s="2" t="s">
        <v>289</v>
      </c>
      <c r="B9" s="4">
        <v>0</v>
      </c>
      <c r="C9" s="4" t="s">
        <v>22</v>
      </c>
      <c r="D9" s="4"/>
      <c r="E9" s="4"/>
      <c r="F9" s="4"/>
      <c r="G9" s="4" t="s">
        <v>286</v>
      </c>
      <c r="H9" s="4">
        <v>4.66</v>
      </c>
      <c r="I9" s="4"/>
      <c r="J9" s="4"/>
      <c r="K9" s="4"/>
      <c r="L9" s="4"/>
      <c r="M9" s="4" t="s">
        <v>25</v>
      </c>
      <c r="N9" s="4"/>
      <c r="O9" s="3">
        <f>=B9*H9</f>
      </c>
    </row>
    <row r="10" spans="1:15" x14ac:dyDescent="0.25">
      <c r="A10" s="2" t="s">
        <v>290</v>
      </c>
      <c r="B10" s="4">
        <v>0</v>
      </c>
      <c r="C10" s="4" t="s">
        <v>22</v>
      </c>
      <c r="D10" s="4"/>
      <c r="E10" s="4"/>
      <c r="F10" s="4"/>
      <c r="G10" s="4" t="s">
        <v>286</v>
      </c>
      <c r="H10" s="4">
        <v>4.66</v>
      </c>
      <c r="I10" s="4"/>
      <c r="J10" s="4"/>
      <c r="K10" s="4"/>
      <c r="L10" s="4"/>
      <c r="M10" s="4" t="s">
        <v>25</v>
      </c>
      <c r="N10" s="4"/>
      <c r="O10" s="3">
        <f>=B10*H10</f>
      </c>
    </row>
    <row r="11" spans="1:15" x14ac:dyDescent="0.25">
      <c r="A11" s="2" t="s">
        <v>291</v>
      </c>
      <c r="B11" s="4">
        <v>0</v>
      </c>
      <c r="C11" s="4" t="s">
        <v>22</v>
      </c>
      <c r="D11" s="4"/>
      <c r="E11" s="4"/>
      <c r="F11" s="4"/>
      <c r="G11" s="4" t="s">
        <v>292</v>
      </c>
      <c r="H11" s="4">
        <v>5.45</v>
      </c>
      <c r="I11" s="4"/>
      <c r="J11" s="4"/>
      <c r="K11" s="4"/>
      <c r="L11" s="4"/>
      <c r="M11" s="4" t="s">
        <v>25</v>
      </c>
      <c r="N11" s="4"/>
      <c r="O11" s="3">
        <f>=B11*H11</f>
      </c>
    </row>
    <row r="12" spans="1:15" x14ac:dyDescent="0.25">
      <c r="A12" s="2" t="s">
        <v>293</v>
      </c>
      <c r="B12" s="4">
        <v>0</v>
      </c>
      <c r="C12" s="4" t="s">
        <v>22</v>
      </c>
      <c r="D12" s="4"/>
      <c r="E12" s="4"/>
      <c r="F12" s="4"/>
      <c r="G12" s="4" t="s">
        <v>292</v>
      </c>
      <c r="H12" s="4">
        <v>5.45</v>
      </c>
      <c r="I12" s="4"/>
      <c r="J12" s="4"/>
      <c r="K12" s="4"/>
      <c r="L12" s="4"/>
      <c r="M12" s="4" t="s">
        <v>25</v>
      </c>
      <c r="N12" s="4"/>
      <c r="O12" s="3">
        <f>=B12*H12</f>
      </c>
    </row>
    <row r="13" spans="1:15" x14ac:dyDescent="0.25">
      <c r="A13" s="2" t="s">
        <v>294</v>
      </c>
      <c r="B13" s="4">
        <v>0</v>
      </c>
      <c r="C13" s="4" t="s">
        <v>22</v>
      </c>
      <c r="D13" s="4"/>
      <c r="E13" s="4"/>
      <c r="F13" s="4"/>
      <c r="G13" s="4" t="s">
        <v>292</v>
      </c>
      <c r="H13" s="4">
        <v>5.45</v>
      </c>
      <c r="I13" s="4"/>
      <c r="J13" s="4"/>
      <c r="K13" s="4"/>
      <c r="L13" s="4"/>
      <c r="M13" s="4" t="s">
        <v>25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20</v>
      </c>
      <c r="O14" s="6">
        <f>=SUM(O2:O13)</f>
      </c>
    </row>
  </sheetData>
  <sheetProtection sheet="1" algorithmName="SHA-512" hashValue="7nfnoQH5dV15exdsUD+Ri9U+Y7wOHgEjIAzc3bAMRDJPYNVzdjYGv/CRMGL9rqbQJygtvFB8BEQ+ddbTU9KPsw==" saltValue="IBKR8lTwaN8Owj9WRQK12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295</v>
      </c>
      <c r="B2" s="4">
        <v>1</v>
      </c>
      <c r="C2" s="4" t="s">
        <v>16</v>
      </c>
      <c r="D2" s="4"/>
      <c r="E2" s="4" t="s">
        <v>296</v>
      </c>
      <c r="F2" s="4"/>
      <c r="G2" s="4" t="s">
        <v>297</v>
      </c>
      <c r="H2" s="4"/>
      <c r="I2" s="4">
        <v>0.82</v>
      </c>
      <c r="J2" s="4"/>
      <c r="K2" s="4"/>
      <c r="L2" s="4"/>
      <c r="M2" s="4" t="s">
        <v>19</v>
      </c>
      <c r="N2" s="4"/>
      <c r="O2" s="3">
        <f>=B2*I2</f>
      </c>
    </row>
    <row r="3" spans="1:15" x14ac:dyDescent="0.25">
      <c r="A3" s="2" t="s">
        <v>298</v>
      </c>
      <c r="B3" s="4">
        <v>234</v>
      </c>
      <c r="C3" s="4" t="s">
        <v>16</v>
      </c>
      <c r="D3" s="4"/>
      <c r="E3" s="4" t="s">
        <v>299</v>
      </c>
      <c r="F3" s="4"/>
      <c r="G3" s="4" t="s">
        <v>300</v>
      </c>
      <c r="H3" s="4"/>
      <c r="I3" s="4">
        <v>0.82</v>
      </c>
      <c r="J3" s="4"/>
      <c r="K3" s="4"/>
      <c r="L3" s="4"/>
      <c r="M3" s="4" t="s">
        <v>19</v>
      </c>
      <c r="N3" s="4"/>
      <c r="O3" s="3">
        <f>=B3*I3</f>
      </c>
    </row>
    <row r="4" spans="1:15" x14ac:dyDescent="0.25">
      <c r="A4" s="2" t="s">
        <v>301</v>
      </c>
      <c r="B4" s="4">
        <v>332</v>
      </c>
      <c r="C4" s="4" t="s">
        <v>16</v>
      </c>
      <c r="D4" s="4"/>
      <c r="E4" s="4" t="s">
        <v>299</v>
      </c>
      <c r="F4" s="4"/>
      <c r="G4" s="4" t="s">
        <v>300</v>
      </c>
      <c r="H4" s="4"/>
      <c r="I4" s="4">
        <v>0.82</v>
      </c>
      <c r="J4" s="4"/>
      <c r="K4" s="4"/>
      <c r="L4" s="4"/>
      <c r="M4" s="4" t="s">
        <v>19</v>
      </c>
      <c r="N4" s="4"/>
      <c r="O4" s="3">
        <f>=B4*I4</f>
      </c>
    </row>
    <row r="5" spans="1:15" x14ac:dyDescent="0.25">
      <c r="A5" s="2" t="s">
        <v>302</v>
      </c>
      <c r="B5" s="4">
        <v>0</v>
      </c>
      <c r="C5" s="4" t="s">
        <v>16</v>
      </c>
      <c r="D5" s="4"/>
      <c r="E5" s="4"/>
      <c r="F5" s="4"/>
      <c r="G5" s="4" t="s">
        <v>303</v>
      </c>
      <c r="H5" s="4"/>
      <c r="I5" s="4">
        <v>0.82</v>
      </c>
      <c r="J5" s="4"/>
      <c r="K5" s="4"/>
      <c r="L5" s="4"/>
      <c r="M5" s="4" t="s">
        <v>19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20</v>
      </c>
      <c r="O6" s="6">
        <f>=SUM(O2:O5)</f>
      </c>
    </row>
  </sheetData>
  <sheetProtection sheet="1" algorithmName="SHA-512" hashValue="ltpziD8voeBDCGy2VyNmMfvvBu3kHR9H88iosUpWcu2b+AAZEvPBlGInibpcs0HDRdYaFF3gYIVhlj4EL/9FHA==" saltValue="vez2+2Bgbkg2qRUqVLn/y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16" customWidth="1"/>
    <col min="2" max="2" width="20" style="1" customWidth="1"/>
  </cols>
  <sheetData>
    <row r="1" spans="1:2" s="7" customFormat="1" x14ac:dyDescent="0.25">
      <c r="A1" s="8" t="s">
        <v>304</v>
      </c>
      <c r="B1" s="9" t="s">
        <v>305</v>
      </c>
    </row>
    <row r="2" spans="1:2" x14ac:dyDescent="0.25">
      <c r="A2" s="10" t="s">
        <v>306</v>
      </c>
      <c r="B2" s="11">
        <f>=rollup!O3</f>
      </c>
    </row>
    <row r="3" spans="1:2" x14ac:dyDescent="0.25">
      <c r="A3" s="10" t="s">
        <v>307</v>
      </c>
      <c r="B3" s="11">
        <f>=snijfolie!O27</f>
      </c>
    </row>
    <row r="4" spans="1:2" x14ac:dyDescent="0.25">
      <c r="A4" s="10" t="s">
        <v>308</v>
      </c>
      <c r="B4" s="11">
        <f>=interieurfolie!O7</f>
      </c>
    </row>
    <row r="5" spans="1:2" x14ac:dyDescent="0.25">
      <c r="A5" s="10" t="s">
        <v>309</v>
      </c>
      <c r="B5" s="11">
        <f>=flex!O23</f>
      </c>
    </row>
    <row r="6" spans="1:2" x14ac:dyDescent="0.25">
      <c r="A6" s="10" t="s">
        <v>310</v>
      </c>
      <c r="B6" s="11">
        <f>=printfolie!O33</f>
      </c>
    </row>
    <row r="7" spans="1:2" x14ac:dyDescent="0.25">
      <c r="A7" s="10" t="s">
        <v>311</v>
      </c>
      <c r="B7" s="11">
        <f>=swf!O34</f>
      </c>
    </row>
    <row r="8" spans="1:2" x14ac:dyDescent="0.25">
      <c r="A8" s="10" t="s">
        <v>312</v>
      </c>
      <c r="B8" s="11">
        <f>=allerlei!O8</f>
      </c>
    </row>
    <row r="9" spans="1:2" x14ac:dyDescent="0.25">
      <c r="A9" s="10" t="s">
        <v>313</v>
      </c>
      <c r="B9" s="11">
        <f>=magneetfolie!O5</f>
      </c>
    </row>
    <row r="10" spans="1:2" x14ac:dyDescent="0.25">
      <c r="A10" s="10" t="s">
        <v>314</v>
      </c>
      <c r="B10" s="11">
        <f>=buizen!O14</f>
      </c>
    </row>
    <row r="11" spans="1:2" x14ac:dyDescent="0.25">
      <c r="A11" s="10" t="s">
        <v>315</v>
      </c>
      <c r="B11" s="11">
        <f>=zandstraal!O14</f>
      </c>
    </row>
    <row r="12" spans="1:2" x14ac:dyDescent="0.25">
      <c r="A12" s="10" t="s">
        <v>316</v>
      </c>
      <c r="B12" s="11">
        <f>=rekkers!O6</f>
      </c>
    </row>
    <row r="13" spans="1:2" x14ac:dyDescent="0.25">
      <c r="A13" s="12" t="s">
        <v>317</v>
      </c>
      <c r="B13" s="13">
        <f>=SUM(B2:B12)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rollup</vt:lpstr>
      <vt:lpstr>snijfolie</vt:lpstr>
      <vt:lpstr>interieurfolie</vt:lpstr>
      <vt:lpstr>flex</vt:lpstr>
      <vt:lpstr>printfolie</vt:lpstr>
      <vt:lpstr>swf</vt:lpstr>
      <vt:lpstr>allerlei</vt:lpstr>
      <vt:lpstr>magneetfolie</vt:lpstr>
      <vt:lpstr>buizen</vt:lpstr>
      <vt:lpstr>zandstraal</vt:lpstr>
      <vt:lpstr>rekkers</vt:lpstr>
      <vt:lpstr>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2024-12-20T11:12:24Z</dcterms:created>
  <dcterms:modified xsi:type="dcterms:W3CDTF">2024-12-20T11:12:24Z</dcterms:modified>
</cp:coreProperties>
</file>