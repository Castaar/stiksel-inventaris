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standshouder" state="visible" r:id="rId4"/>
    <sheet sheetId="2" name="hout" state="visible" r:id="rId5"/>
    <sheet sheetId="3" name="plexi_opaal" state="visible" r:id="rId6"/>
    <sheet sheetId="4" name="forex_zwart" state="visible" r:id="rId7"/>
    <sheet sheetId="5" name="forex_wit" state="visible" r:id="rId8"/>
    <sheet sheetId="6" name="zwart" state="visible" r:id="rId9"/>
    <sheet sheetId="7" name="wit" state="visible" r:id="rId10"/>
    <sheet sheetId="8" name="kanaalplaten" state="visible" r:id="rId11"/>
    <sheet sheetId="9" name="brushed_steel" state="visible" r:id="rId12"/>
    <sheet sheetId="10" name="plexiglas" state="visible" r:id="rId13"/>
    <sheet sheetId="11" name="total" state="visible" r:id="rId14"/>
  </sheets>
  <calcPr calcId="171027"/>
</workbook>
</file>

<file path=xl/sharedStrings.xml><?xml version="1.0" encoding="utf-8"?>
<sst xmlns="http://schemas.openxmlformats.org/spreadsheetml/2006/main" count="1276" uniqueCount="580">
  <si>
    <t>_id</t>
  </si>
  <si>
    <t>available</t>
  </si>
  <si>
    <t>calculation_type</t>
  </si>
  <si>
    <t>depth_cm</t>
  </si>
  <si>
    <t>format</t>
  </si>
  <si>
    <t>height_cm</t>
  </si>
  <si>
    <t>name</t>
  </si>
  <si>
    <t>price_per_meter</t>
  </si>
  <si>
    <t>price_per_piece</t>
  </si>
  <si>
    <t>price_per_square_meter</t>
  </si>
  <si>
    <t>thickness</t>
  </si>
  <si>
    <t>total_meter_per_rol</t>
  </si>
  <si>
    <t>unit</t>
  </si>
  <si>
    <t>width_cm</t>
  </si>
  <si>
    <t>subtotal</t>
  </si>
  <si>
    <t>676521ea5ff93f7b6d3f9219</t>
  </si>
  <si>
    <t>stuk</t>
  </si>
  <si>
    <t>Zwart draai</t>
  </si>
  <si>
    <t>stuks</t>
  </si>
  <si>
    <t>676521ea5ff93f7b6d3f921a</t>
  </si>
  <si>
    <t>Klein</t>
  </si>
  <si>
    <t>676521ea5ff93f7b6d3f921b</t>
  </si>
  <si>
    <t xml:space="preserve">Middel </t>
  </si>
  <si>
    <t>676521ea5ff93f7b6d3f921c</t>
  </si>
  <si>
    <t xml:space="preserve">Groot </t>
  </si>
  <si>
    <t>Total</t>
  </si>
  <si>
    <t>676521e55ff93f7b6d3f91d9</t>
  </si>
  <si>
    <t>bord</t>
  </si>
  <si>
    <t>410 X 7,5 X 2</t>
  </si>
  <si>
    <t>676521e55ff93f7b6d3f91da</t>
  </si>
  <si>
    <t>212 X 6,5 X 6</t>
  </si>
  <si>
    <t>676521e55ff93f7b6d3f91db</t>
  </si>
  <si>
    <t>3 X 8 X 5,5</t>
  </si>
  <si>
    <t>676521e55ff93f7b6d3f91dc</t>
  </si>
  <si>
    <t>180 X 9 X 8,5</t>
  </si>
  <si>
    <t>676521e55ff93f7b6d3f91dd</t>
  </si>
  <si>
    <t>180 X 100</t>
  </si>
  <si>
    <t>676521e25ff93f7b6d3f91b0</t>
  </si>
  <si>
    <t>120x100</t>
  </si>
  <si>
    <t>676521e25ff93f7b6d3f91b1</t>
  </si>
  <si>
    <t>122x118</t>
  </si>
  <si>
    <t>676521e25ff93f7b6d3f91b2</t>
  </si>
  <si>
    <t>30 x 40</t>
  </si>
  <si>
    <t>676521e25ff93f7b6d3f91b3</t>
  </si>
  <si>
    <t>150x147</t>
  </si>
  <si>
    <t>676521e25ff93f7b6d3f91b4</t>
  </si>
  <si>
    <t>44 x 42</t>
  </si>
  <si>
    <t>676521e25ff93f7b6d3f91b5</t>
  </si>
  <si>
    <t>200x18</t>
  </si>
  <si>
    <t>676521e25ff93f7b6d3f91b6</t>
  </si>
  <si>
    <t>204x120 ZW</t>
  </si>
  <si>
    <t>676521e25ff93f7b6d3f91b7</t>
  </si>
  <si>
    <t>23x9,5</t>
  </si>
  <si>
    <t>676521e25ff93f7b6d3f91b8</t>
  </si>
  <si>
    <t>24 x 18</t>
  </si>
  <si>
    <t>676521e25ff93f7b6d3f91b9</t>
  </si>
  <si>
    <t>24x97 ZW</t>
  </si>
  <si>
    <t>676521e25ff93f7b6d3f91ba</t>
  </si>
  <si>
    <t>30x30</t>
  </si>
  <si>
    <t>676521e25ff93f7b6d3f91bb</t>
  </si>
  <si>
    <t>32x29</t>
  </si>
  <si>
    <t>676521e35ff93f7b6d3f91bc</t>
  </si>
  <si>
    <t>34x29</t>
  </si>
  <si>
    <t>676521e35ff93f7b6d3f91bd</t>
  </si>
  <si>
    <t>40 x 18</t>
  </si>
  <si>
    <t>676521e35ff93f7b6d3f91be</t>
  </si>
  <si>
    <t>40 x 40</t>
  </si>
  <si>
    <t>676521e35ff93f7b6d3f91bf</t>
  </si>
  <si>
    <t>47 x 50</t>
  </si>
  <si>
    <t>676521e35ff93f7b6d3f91c0</t>
  </si>
  <si>
    <t>93 x 35</t>
  </si>
  <si>
    <t>676521e35ff93f7b6d3f91c1</t>
  </si>
  <si>
    <t>100 x 40</t>
  </si>
  <si>
    <t>676521e35ff93f7b6d3f91c2</t>
  </si>
  <si>
    <t>53 x 11</t>
  </si>
  <si>
    <t>676521e35ff93f7b6d3f91c3</t>
  </si>
  <si>
    <t>97 x 24</t>
  </si>
  <si>
    <t>676521e35ff93f7b6d3f91c4</t>
  </si>
  <si>
    <t>50 x 18</t>
  </si>
  <si>
    <t>676521e35ff93f7b6d3f91c5</t>
  </si>
  <si>
    <t>50 x 50</t>
  </si>
  <si>
    <t>676521e35ff93f7b6d3f91c6</t>
  </si>
  <si>
    <t>50x20</t>
  </si>
  <si>
    <t>676521e35ff93f7b6d3f91c7</t>
  </si>
  <si>
    <t>305 x 123</t>
  </si>
  <si>
    <t>676521e35ff93f7b6d3f91c8</t>
  </si>
  <si>
    <t>27 x 100</t>
  </si>
  <si>
    <t>676521e45ff93f7b6d3f91c9</t>
  </si>
  <si>
    <t>59x22</t>
  </si>
  <si>
    <t>676521e45ff93f7b6d3f91ca</t>
  </si>
  <si>
    <t>60 x 17,5</t>
  </si>
  <si>
    <t>676521e45ff93f7b6d3f91cb</t>
  </si>
  <si>
    <t>60x38</t>
  </si>
  <si>
    <t>676521e45ff93f7b6d3f91cc</t>
  </si>
  <si>
    <t>60x60 ZW</t>
  </si>
  <si>
    <t>676521e45ff93f7b6d3f91cd</t>
  </si>
  <si>
    <t>22,5 X 108,5</t>
  </si>
  <si>
    <t>676521e45ff93f7b6d3f91ce</t>
  </si>
  <si>
    <t>80 X 51</t>
  </si>
  <si>
    <t>676521e45ff93f7b6d3f91cf</t>
  </si>
  <si>
    <t>48,5 x 37</t>
  </si>
  <si>
    <t>676521e45ff93f7b6d3f91d0</t>
  </si>
  <si>
    <t>137 x 72,5</t>
  </si>
  <si>
    <t>676521e45ff93f7b6d3f91d1</t>
  </si>
  <si>
    <t>72 x 35</t>
  </si>
  <si>
    <t>676521e45ff93f7b6d3f91d2</t>
  </si>
  <si>
    <t>64 X 24@</t>
  </si>
  <si>
    <t>676521e65ff93f7b6d3f91e3</t>
  </si>
  <si>
    <t>50 X 20</t>
  </si>
  <si>
    <t>676521e65ff93f7b6d3f91e4</t>
  </si>
  <si>
    <t>122,5 X 20</t>
  </si>
  <si>
    <t>676521e65ff93f7b6d3f91e5</t>
  </si>
  <si>
    <t>34 X 29</t>
  </si>
  <si>
    <t>676521e65ff93f7b6d3f91e6</t>
  </si>
  <si>
    <t>32 X 29</t>
  </si>
  <si>
    <t>676521e65ff93f7b6d3f91e7</t>
  </si>
  <si>
    <t>42 x 29</t>
  </si>
  <si>
    <t>676521e65ff93f7b6d3f91e8</t>
  </si>
  <si>
    <t>23 x 60</t>
  </si>
  <si>
    <t>676521e65ff93f7b6d3f91e9</t>
  </si>
  <si>
    <t>59 x 22</t>
  </si>
  <si>
    <t>676521e65ff93f7b6d3f91ea</t>
  </si>
  <si>
    <t>50 x 20</t>
  </si>
  <si>
    <t>676521e65ff93f7b6d3f91eb</t>
  </si>
  <si>
    <t>50 x 14,5</t>
  </si>
  <si>
    <t>676521e75ff93f7b6d3f91ec</t>
  </si>
  <si>
    <t>45 x 35</t>
  </si>
  <si>
    <t>676521e75ff93f7b6d3f91ed</t>
  </si>
  <si>
    <t>22,5 x 50</t>
  </si>
  <si>
    <t>676521e75ff93f7b6d3f91ee</t>
  </si>
  <si>
    <t>676521e75ff93f7b6d3f91ef</t>
  </si>
  <si>
    <t>24 x 9,5</t>
  </si>
  <si>
    <t>676521e75ff93f7b6d3f91f0</t>
  </si>
  <si>
    <t>20 x 15</t>
  </si>
  <si>
    <t>676521e75ff93f7b6d3f91f1</t>
  </si>
  <si>
    <t>20 x 18</t>
  </si>
  <si>
    <t>676521e75ff93f7b6d3f91f2</t>
  </si>
  <si>
    <t>676521e75ff93f7b6d3f91f3</t>
  </si>
  <si>
    <t>31 x 22</t>
  </si>
  <si>
    <t>676521e75ff93f7b6d3f91f4</t>
  </si>
  <si>
    <t xml:space="preserve">30 x 30 </t>
  </si>
  <si>
    <t>676521e75ff93f7b6d3f91f5</t>
  </si>
  <si>
    <t>40 x 50</t>
  </si>
  <si>
    <t>676521e75ff93f7b6d3f91f6</t>
  </si>
  <si>
    <t>676521e75ff93f7b6d3f91f7</t>
  </si>
  <si>
    <t>22,5 x 35,5</t>
  </si>
  <si>
    <t>676521e75ff93f7b6d3f91f8</t>
  </si>
  <si>
    <t>28 x 58</t>
  </si>
  <si>
    <t>676521e75ff93f7b6d3f91f9</t>
  </si>
  <si>
    <t>110 x 21,5</t>
  </si>
  <si>
    <t>676521e85ff93f7b6d3f91fa</t>
  </si>
  <si>
    <t>105 x 25</t>
  </si>
  <si>
    <t>676521e85ff93f7b6d3f91fb</t>
  </si>
  <si>
    <t>120 x 25</t>
  </si>
  <si>
    <t>676521e85ff93f7b6d3f91fc</t>
  </si>
  <si>
    <t>24 x 131</t>
  </si>
  <si>
    <t>676521e85ff93f7b6d3f91fd</t>
  </si>
  <si>
    <t>49 x 30</t>
  </si>
  <si>
    <t>676521e85ff93f7b6d3f91fe</t>
  </si>
  <si>
    <t>29 x 79</t>
  </si>
  <si>
    <t>676521e85ff93f7b6d3f91ff</t>
  </si>
  <si>
    <t>80 x 14,5</t>
  </si>
  <si>
    <t>676521e85ff93f7b6d3f9200</t>
  </si>
  <si>
    <t>42 x 38</t>
  </si>
  <si>
    <t>676521e85ff93f7b6d3f9201</t>
  </si>
  <si>
    <t>42 x 19</t>
  </si>
  <si>
    <t>676521e85ff93f7b6d3f9202</t>
  </si>
  <si>
    <t>79 x 19</t>
  </si>
  <si>
    <t>676521e85ff93f7b6d3f9203</t>
  </si>
  <si>
    <t>48 x 52</t>
  </si>
  <si>
    <t>676521e85ff93f7b6d3f9204</t>
  </si>
  <si>
    <t>37 X 33</t>
  </si>
  <si>
    <t>676521e85ff93f7b6d3f9205</t>
  </si>
  <si>
    <t>46,5 X 35</t>
  </si>
  <si>
    <t>676521e85ff93f7b6d3f9206</t>
  </si>
  <si>
    <t>85 X 67</t>
  </si>
  <si>
    <t>676521e95ff93f7b6d3f9207</t>
  </si>
  <si>
    <t>12,5 x 47</t>
  </si>
  <si>
    <t>676521e95ff93f7b6d3f9208</t>
  </si>
  <si>
    <t>12 x 114,3</t>
  </si>
  <si>
    <t>676521e95ff93f7b6d3f9209</t>
  </si>
  <si>
    <t>40 x 183</t>
  </si>
  <si>
    <t>676521e95ff93f7b6d3f920a</t>
  </si>
  <si>
    <t>47,5 x 143</t>
  </si>
  <si>
    <t>676521e95ff93f7b6d3f920b</t>
  </si>
  <si>
    <t>33x27,5</t>
  </si>
  <si>
    <t>676521e95ff93f7b6d3f920c</t>
  </si>
  <si>
    <t>143x47,5</t>
  </si>
  <si>
    <t>676521e95ff93f7b6d3f920d</t>
  </si>
  <si>
    <t>41x29,5</t>
  </si>
  <si>
    <t>676521e95ff93f7b6d3f920e</t>
  </si>
  <si>
    <t>156x49</t>
  </si>
  <si>
    <t>676521e95ff93f7b6d3f920f</t>
  </si>
  <si>
    <t>47X12</t>
  </si>
  <si>
    <t>676521e95ff93f7b6d3f9210</t>
  </si>
  <si>
    <t>99 x 45</t>
  </si>
  <si>
    <t>676521e95ff93f7b6d3f9211</t>
  </si>
  <si>
    <t>99 x 30</t>
  </si>
  <si>
    <t>676521e95ff93f7b6d3f9212</t>
  </si>
  <si>
    <t>205x41</t>
  </si>
  <si>
    <t>676521e95ff93f7b6d3f9213</t>
  </si>
  <si>
    <t>108x22,5</t>
  </si>
  <si>
    <t>676521ea5ff93f7b6d3f9214</t>
  </si>
  <si>
    <t>72x72</t>
  </si>
  <si>
    <t>676521ea5ff93f7b6d3f9215</t>
  </si>
  <si>
    <t>72X72</t>
  </si>
  <si>
    <t>676521ea5ff93f7b6d3f9216</t>
  </si>
  <si>
    <t>205x203</t>
  </si>
  <si>
    <t>676521ea5ff93f7b6d3f9217</t>
  </si>
  <si>
    <t>65x41</t>
  </si>
  <si>
    <t>676521ea5ff93f7b6d3f9218</t>
  </si>
  <si>
    <t>86x84</t>
  </si>
  <si>
    <t>676521dc5ff93f7b6d3f9169</t>
  </si>
  <si>
    <t>100,5 X 19,5</t>
  </si>
  <si>
    <t>676521dc5ff93f7b6d3f916a</t>
  </si>
  <si>
    <t>103 X 10</t>
  </si>
  <si>
    <t>676521dc5ff93f7b6d3f916b</t>
  </si>
  <si>
    <t>103 X 27</t>
  </si>
  <si>
    <t>676521dc5ff93f7b6d3f916c</t>
  </si>
  <si>
    <t>115 X 67</t>
  </si>
  <si>
    <t>676521dd5ff93f7b6d3f916d</t>
  </si>
  <si>
    <t>13 X 78</t>
  </si>
  <si>
    <t>676521dd5ff93f7b6d3f916e</t>
  </si>
  <si>
    <t>13 X 90</t>
  </si>
  <si>
    <t>676521dd5ff93f7b6d3f916f</t>
  </si>
  <si>
    <t>140 X 19</t>
  </si>
  <si>
    <t>676521dd5ff93f7b6d3f9170</t>
  </si>
  <si>
    <t>150 X 15</t>
  </si>
  <si>
    <t>676521dd5ff93f7b6d3f9171</t>
  </si>
  <si>
    <t>16 X 63</t>
  </si>
  <si>
    <t>676521dd5ff93f7b6d3f9172</t>
  </si>
  <si>
    <t>20 X 10</t>
  </si>
  <si>
    <t>676521dd5ff93f7b6d3f9173</t>
  </si>
  <si>
    <t>21 X 15</t>
  </si>
  <si>
    <t>676521dd5ff93f7b6d3f9174</t>
  </si>
  <si>
    <t>22 X 31</t>
  </si>
  <si>
    <t>676521dd5ff93f7b6d3f9175</t>
  </si>
  <si>
    <t>23,5 X 50</t>
  </si>
  <si>
    <t>676521dd5ff93f7b6d3f9176</t>
  </si>
  <si>
    <t>245 X 18</t>
  </si>
  <si>
    <t>676521dd5ff93f7b6d3f9177</t>
  </si>
  <si>
    <t>25 X 42</t>
  </si>
  <si>
    <t>676521dd5ff93f7b6d3f9178</t>
  </si>
  <si>
    <t>25 X 64</t>
  </si>
  <si>
    <t>676521dd5ff93f7b6d3f9179</t>
  </si>
  <si>
    <t>25 X 78</t>
  </si>
  <si>
    <t>676521dd5ff93f7b6d3f917a</t>
  </si>
  <si>
    <t>26 X 90</t>
  </si>
  <si>
    <t>676521de5ff93f7b6d3f917b</t>
  </si>
  <si>
    <t>27 X 43</t>
  </si>
  <si>
    <t>676521de5ff93f7b6d3f917c</t>
  </si>
  <si>
    <t>27 X 42</t>
  </si>
  <si>
    <t>676521de5ff93f7b6d3f917d</t>
  </si>
  <si>
    <t>28 X 33</t>
  </si>
  <si>
    <t>676521de5ff93f7b6d3f917e</t>
  </si>
  <si>
    <t>29,5 X 19</t>
  </si>
  <si>
    <t>676521de5ff93f7b6d3f917f</t>
  </si>
  <si>
    <t>29 X 34</t>
  </si>
  <si>
    <t>676521de5ff93f7b6d3f9180</t>
  </si>
  <si>
    <t>30 X 27,5</t>
  </si>
  <si>
    <t>676521de5ff93f7b6d3f9181</t>
  </si>
  <si>
    <t>32 X 44</t>
  </si>
  <si>
    <t>676521de5ff93f7b6d3f9182</t>
  </si>
  <si>
    <t>36 X 32</t>
  </si>
  <si>
    <t>676521de5ff93f7b6d3f9183</t>
  </si>
  <si>
    <t>375 X 30</t>
  </si>
  <si>
    <t>676521de5ff93f7b6d3f9184</t>
  </si>
  <si>
    <t>39 X 15,5</t>
  </si>
  <si>
    <t>676521de5ff93f7b6d3f9185</t>
  </si>
  <si>
    <t>40 X 18</t>
  </si>
  <si>
    <t>676521de5ff93f7b6d3f9186</t>
  </si>
  <si>
    <t>40 X 40</t>
  </si>
  <si>
    <t>676521de5ff93f7b6d3f9187</t>
  </si>
  <si>
    <t>47 X 46</t>
  </si>
  <si>
    <t>676521df5ff93f7b6d3f9188</t>
  </si>
  <si>
    <t>49 X 29</t>
  </si>
  <si>
    <t>676521df5ff93f7b6d3f9189</t>
  </si>
  <si>
    <t>49 X 41</t>
  </si>
  <si>
    <t>676521df5ff93f7b6d3f918a</t>
  </si>
  <si>
    <t>49 X 48</t>
  </si>
  <si>
    <t>676521df5ff93f7b6d3f918b</t>
  </si>
  <si>
    <t>50 X 50</t>
  </si>
  <si>
    <t>676521df5ff93f7b6d3f918c</t>
  </si>
  <si>
    <t>50 X 10</t>
  </si>
  <si>
    <t>676521df5ff93f7b6d3f918d</t>
  </si>
  <si>
    <t>50 X 14</t>
  </si>
  <si>
    <t>676521df5ff93f7b6d3f918e</t>
  </si>
  <si>
    <t>52 x 46</t>
  </si>
  <si>
    <t>676521df5ff93f7b6d3f918f</t>
  </si>
  <si>
    <t>55 x 40</t>
  </si>
  <si>
    <t>676521df5ff93f7b6d3f9190</t>
  </si>
  <si>
    <t>62 x 16</t>
  </si>
  <si>
    <t>676521df5ff93f7b6d3f9191</t>
  </si>
  <si>
    <t>62 x 30</t>
  </si>
  <si>
    <t>676521df5ff93f7b6d3f9192</t>
  </si>
  <si>
    <t>66 x 19</t>
  </si>
  <si>
    <t>676521df5ff93f7b6d3f9193</t>
  </si>
  <si>
    <t>70 x 20</t>
  </si>
  <si>
    <t>676521df5ff93f7b6d3f9194</t>
  </si>
  <si>
    <t>71 x 22</t>
  </si>
  <si>
    <t>676521df5ff93f7b6d3f9195</t>
  </si>
  <si>
    <t>74 x 16</t>
  </si>
  <si>
    <t>676521e05ff93f7b6d3f9196</t>
  </si>
  <si>
    <t>75 x 28,5</t>
  </si>
  <si>
    <t>676521e05ff93f7b6d3f9197</t>
  </si>
  <si>
    <t>82 x 20</t>
  </si>
  <si>
    <t>676521e05ff93f7b6d3f9198</t>
  </si>
  <si>
    <t>85 x 28,5</t>
  </si>
  <si>
    <t>676521e05ff93f7b6d3f9199</t>
  </si>
  <si>
    <t>88 x 37</t>
  </si>
  <si>
    <t>676521e05ff93f7b6d3f919a</t>
  </si>
  <si>
    <t>94 x 23</t>
  </si>
  <si>
    <t>676521e05ff93f7b6d3f919b</t>
  </si>
  <si>
    <t>A4</t>
  </si>
  <si>
    <t>676521e05ff93f7b6d3f919c</t>
  </si>
  <si>
    <t>A5</t>
  </si>
  <si>
    <t>676521e05ff93f7b6d3f919d</t>
  </si>
  <si>
    <t>A6</t>
  </si>
  <si>
    <t>676521e05ff93f7b6d3f919e</t>
  </si>
  <si>
    <t>47 x 32</t>
  </si>
  <si>
    <t>676521e05ff93f7b6d3f919f</t>
  </si>
  <si>
    <t>67,5 x 15</t>
  </si>
  <si>
    <t>676521e05ff93f7b6d3f91a0</t>
  </si>
  <si>
    <t>99 x 24</t>
  </si>
  <si>
    <t>676521e05ff93f7b6d3f91a1</t>
  </si>
  <si>
    <t>80 x 38</t>
  </si>
  <si>
    <t>676521e05ff93f7b6d3f91a2</t>
  </si>
  <si>
    <t>120 x 72,5</t>
  </si>
  <si>
    <t>676521e15ff93f7b6d3f91a3</t>
  </si>
  <si>
    <t>120 x 17,5</t>
  </si>
  <si>
    <t>676521e15ff93f7b6d3f91a4</t>
  </si>
  <si>
    <t>100 x 12</t>
  </si>
  <si>
    <t>676521e15ff93f7b6d3f91a5</t>
  </si>
  <si>
    <t>150 x 19</t>
  </si>
  <si>
    <t>676521e15ff93f7b6d3f91a6</t>
  </si>
  <si>
    <t>77 x 31</t>
  </si>
  <si>
    <t>676521e15ff93f7b6d3f91a7</t>
  </si>
  <si>
    <t>83 X 70</t>
  </si>
  <si>
    <t>676521e15ff93f7b6d3f91a8</t>
  </si>
  <si>
    <t>240 X 25,5</t>
  </si>
  <si>
    <t>676521e15ff93f7b6d3f91a9</t>
  </si>
  <si>
    <t>70X25</t>
  </si>
  <si>
    <t/>
  </si>
  <si>
    <t>676521e15ff93f7b6d3f91aa</t>
  </si>
  <si>
    <t>135X55</t>
  </si>
  <si>
    <t>676521e15ff93f7b6d3f91ab</t>
  </si>
  <si>
    <t>145x25</t>
  </si>
  <si>
    <t>676521e15ff93f7b6d3f91ac</t>
  </si>
  <si>
    <t>40x30</t>
  </si>
  <si>
    <t>676521e15ff93f7b6d3f91ad</t>
  </si>
  <si>
    <t>40x32</t>
  </si>
  <si>
    <t>676521e15ff93f7b6d3f91ae</t>
  </si>
  <si>
    <t>40x34</t>
  </si>
  <si>
    <t>676521e25ff93f7b6d3f91af</t>
  </si>
  <si>
    <t>39 x 38</t>
  </si>
  <si>
    <t>676521ea5ff93f7b6d3f921d</t>
  </si>
  <si>
    <t>41 x 30</t>
  </si>
  <si>
    <t>676521ea5ff93f7b6d3f921e</t>
  </si>
  <si>
    <t>28 x 20</t>
  </si>
  <si>
    <t>676521ea5ff93f7b6d3f921f</t>
  </si>
  <si>
    <t>20 x 29</t>
  </si>
  <si>
    <t>676521ea5ff93f7b6d3f9220</t>
  </si>
  <si>
    <t>24,5 x 28</t>
  </si>
  <si>
    <t>676521eb5ff93f7b6d3f9221</t>
  </si>
  <si>
    <t>25,5 x 28,5</t>
  </si>
  <si>
    <t>676521eb5ff93f7b6d3f9222</t>
  </si>
  <si>
    <t>60 x 24</t>
  </si>
  <si>
    <t>676521eb5ff93f7b6d3f9223</t>
  </si>
  <si>
    <t>20 x 52</t>
  </si>
  <si>
    <t>676521eb5ff93f7b6d3f9224</t>
  </si>
  <si>
    <t>40 x 30</t>
  </si>
  <si>
    <t>676521eb5ff93f7b6d3f9225</t>
  </si>
  <si>
    <t>28 x 25</t>
  </si>
  <si>
    <t>676521eb5ff93f7b6d3f9226</t>
  </si>
  <si>
    <t>22 x 15</t>
  </si>
  <si>
    <t>676521eb5ff93f7b6d3f9227</t>
  </si>
  <si>
    <t>20 x 19</t>
  </si>
  <si>
    <t>676521eb5ff93f7b6d3f9228</t>
  </si>
  <si>
    <t>23 x 20</t>
  </si>
  <si>
    <t>676521eb5ff93f7b6d3f9229</t>
  </si>
  <si>
    <t>21x 24</t>
  </si>
  <si>
    <t>676521eb5ff93f7b6d3f922a</t>
  </si>
  <si>
    <t>19 x 25</t>
  </si>
  <si>
    <t>676521eb5ff93f7b6d3f922b</t>
  </si>
  <si>
    <t>21 x 25</t>
  </si>
  <si>
    <t>676521eb5ff93f7b6d3f922c</t>
  </si>
  <si>
    <t>22 x 22</t>
  </si>
  <si>
    <t>676521eb5ff93f7b6d3f922d</t>
  </si>
  <si>
    <t>14,5 x 49,5</t>
  </si>
  <si>
    <t>676521eb5ff93f7b6d3f922e</t>
  </si>
  <si>
    <t>25 x 25</t>
  </si>
  <si>
    <t>676521ec5ff93f7b6d3f922f</t>
  </si>
  <si>
    <t>31 x 29</t>
  </si>
  <si>
    <t>676521ec5ff93f7b6d3f9230</t>
  </si>
  <si>
    <t>19,7 x 30</t>
  </si>
  <si>
    <t>676521ec5ff93f7b6d3f9231</t>
  </si>
  <si>
    <t>19,7 x 29,1</t>
  </si>
  <si>
    <t>676521ec5ff93f7b6d3f9232</t>
  </si>
  <si>
    <t>20 x 22</t>
  </si>
  <si>
    <t>676521ec5ff93f7b6d3f9233</t>
  </si>
  <si>
    <t>29,6 x 29,9</t>
  </si>
  <si>
    <t>676521ec5ff93f7b6d3f9234</t>
  </si>
  <si>
    <t>29,9 x 29,9</t>
  </si>
  <si>
    <t>676521ec5ff93f7b6d3f9235</t>
  </si>
  <si>
    <t>14,5 x 19,5</t>
  </si>
  <si>
    <t>676521ec5ff93f7b6d3f9236</t>
  </si>
  <si>
    <t>20 x 14</t>
  </si>
  <si>
    <t>676521ec5ff93f7b6d3f9237</t>
  </si>
  <si>
    <t>28 x 13</t>
  </si>
  <si>
    <t>676521ec5ff93f7b6d3f9238</t>
  </si>
  <si>
    <t>14,5 x 27,5</t>
  </si>
  <si>
    <t>676521ec5ff93f7b6d3f9239</t>
  </si>
  <si>
    <t>8,5 X 5</t>
  </si>
  <si>
    <t>676521ec5ff93f7b6d3f923a</t>
  </si>
  <si>
    <t>10,5 X 4,7</t>
  </si>
  <si>
    <t>676521ec5ff93f7b6d3f923b</t>
  </si>
  <si>
    <t>10,5 X 7,5</t>
  </si>
  <si>
    <t>676521ec5ff93f7b6d3f923c</t>
  </si>
  <si>
    <t>14,8 X 10,5</t>
  </si>
  <si>
    <t>676521ed5ff93f7b6d3f923d</t>
  </si>
  <si>
    <t>676521ed5ff93f7b6d3f923e</t>
  </si>
  <si>
    <t>10 X 76</t>
  </si>
  <si>
    <t>676521ed5ff93f7b6d3f923f</t>
  </si>
  <si>
    <t>30 X 12</t>
  </si>
  <si>
    <t>676521ed5ff93f7b6d3f9240</t>
  </si>
  <si>
    <t>48 X 10</t>
  </si>
  <si>
    <t>676521ed5ff93f7b6d3f9241</t>
  </si>
  <si>
    <t>10 X 50</t>
  </si>
  <si>
    <t>676521ed5ff93f7b6d3f9242</t>
  </si>
  <si>
    <t>10 x 67</t>
  </si>
  <si>
    <t>676521ed5ff93f7b6d3f9243</t>
  </si>
  <si>
    <t>70 x 12</t>
  </si>
  <si>
    <t>676521ed5ff93f7b6d3f9244</t>
  </si>
  <si>
    <t>74 x 13</t>
  </si>
  <si>
    <t>676521ed5ff93f7b6d3f9245</t>
  </si>
  <si>
    <t>22,5 x 100</t>
  </si>
  <si>
    <t>676521ee5ff93f7b6d3f9246</t>
  </si>
  <si>
    <t>51 x 18</t>
  </si>
  <si>
    <t>676521ee5ff93f7b6d3f9247</t>
  </si>
  <si>
    <t>10,5 x 67,5</t>
  </si>
  <si>
    <t>676521ee5ff93f7b6d3f9248</t>
  </si>
  <si>
    <t>34 x 12</t>
  </si>
  <si>
    <t>676521ee5ff93f7b6d3f9249</t>
  </si>
  <si>
    <t>9,5 x 35</t>
  </si>
  <si>
    <t>676521ee5ff93f7b6d3f924a</t>
  </si>
  <si>
    <t>10 x 34,5</t>
  </si>
  <si>
    <t>676521ee5ff93f7b6d3f924b</t>
  </si>
  <si>
    <t>10 x 35</t>
  </si>
  <si>
    <t>676521ee5ff93f7b6d3f924c</t>
  </si>
  <si>
    <t>205 x 14</t>
  </si>
  <si>
    <t>676521ef5ff93f7b6d3f924d</t>
  </si>
  <si>
    <t>205 x 16</t>
  </si>
  <si>
    <t>676521ef5ff93f7b6d3f924e</t>
  </si>
  <si>
    <t>205 x 29,5</t>
  </si>
  <si>
    <t>676521ef5ff93f7b6d3f924f</t>
  </si>
  <si>
    <t>11 x 218</t>
  </si>
  <si>
    <t>676521ef5ff93f7b6d3f9250</t>
  </si>
  <si>
    <t>300 x 28</t>
  </si>
  <si>
    <t>676521ef5ff93f7b6d3f9251</t>
  </si>
  <si>
    <t>110 x 36</t>
  </si>
  <si>
    <t>676521ef5ff93f7b6d3f9252</t>
  </si>
  <si>
    <t>34 x 180</t>
  </si>
  <si>
    <t>676521ef5ff93f7b6d3f9253</t>
  </si>
  <si>
    <t>257 x 17,5</t>
  </si>
  <si>
    <t>676521ef5ff93f7b6d3f9254</t>
  </si>
  <si>
    <t>293 x 15</t>
  </si>
  <si>
    <t>676521ef5ff93f7b6d3f9255</t>
  </si>
  <si>
    <t>295 x 18</t>
  </si>
  <si>
    <t>676521ef5ff93f7b6d3f9256</t>
  </si>
  <si>
    <t>27 x 34,9</t>
  </si>
  <si>
    <t>676521f05ff93f7b6d3f9257</t>
  </si>
  <si>
    <t>27 x 29,9</t>
  </si>
  <si>
    <t>676521f05ff93f7b6d3f9258</t>
  </si>
  <si>
    <t>31 x 25</t>
  </si>
  <si>
    <t>676521f05ff93f7b6d3f9259</t>
  </si>
  <si>
    <t>28,5 x 273</t>
  </si>
  <si>
    <t>676521f05ff93f7b6d3f925a</t>
  </si>
  <si>
    <t>676521f05ff93f7b6d3f925b</t>
  </si>
  <si>
    <t>32 x 13,5</t>
  </si>
  <si>
    <t>676521f05ff93f7b6d3f925c</t>
  </si>
  <si>
    <t>21,8 x 30,1</t>
  </si>
  <si>
    <t>676521f05ff93f7b6d3f925d</t>
  </si>
  <si>
    <t>21 x 29,6</t>
  </si>
  <si>
    <t>676521f05ff93f7b6d3f925e</t>
  </si>
  <si>
    <t>150 x 150</t>
  </si>
  <si>
    <t>676521f05ff93f7b6d3f925f</t>
  </si>
  <si>
    <t>100 x 19,5</t>
  </si>
  <si>
    <t>676521f05ff93f7b6d3f9260</t>
  </si>
  <si>
    <t>54,5 x 40</t>
  </si>
  <si>
    <t>676521f05ff93f7b6d3f9261</t>
  </si>
  <si>
    <t>125 x 100</t>
  </si>
  <si>
    <t>676521f15ff93f7b6d3f9262</t>
  </si>
  <si>
    <t>37 x 45</t>
  </si>
  <si>
    <t>676521f15ff93f7b6d3f9263</t>
  </si>
  <si>
    <t>12,5 x 250</t>
  </si>
  <si>
    <t>676521f15ff93f7b6d3f9264</t>
  </si>
  <si>
    <t>57,5 x 100</t>
  </si>
  <si>
    <t>676521f15ff93f7b6d3f9265</t>
  </si>
  <si>
    <t>100 X 132</t>
  </si>
  <si>
    <t>676521f15ff93f7b6d3f9266</t>
  </si>
  <si>
    <t>60 x 19,5</t>
  </si>
  <si>
    <t>676521f15ff93f7b6d3f9267</t>
  </si>
  <si>
    <t>92 x 40</t>
  </si>
  <si>
    <t>676521f15ff93f7b6d3f9268</t>
  </si>
  <si>
    <t>59,5 x 57,5</t>
  </si>
  <si>
    <t>676521f15ff93f7b6d3f9269</t>
  </si>
  <si>
    <t>45x37</t>
  </si>
  <si>
    <t>676521f15ff93f7b6d3f926a</t>
  </si>
  <si>
    <t>58,5 x 23,5</t>
  </si>
  <si>
    <t>676521f15ff93f7b6d3f926b</t>
  </si>
  <si>
    <t>15 x 10</t>
  </si>
  <si>
    <t>676521f25ff93f7b6d3f926c</t>
  </si>
  <si>
    <t>120X43</t>
  </si>
  <si>
    <t>676521f25ff93f7b6d3f926d</t>
  </si>
  <si>
    <t>45X15</t>
  </si>
  <si>
    <t>676521f25ff93f7b6d3f926e</t>
  </si>
  <si>
    <t>45X20</t>
  </si>
  <si>
    <t>676521f25ff93f7b6d3f926f</t>
  </si>
  <si>
    <t>200x52,5</t>
  </si>
  <si>
    <t>676521f25ff93f7b6d3f9270</t>
  </si>
  <si>
    <t>300x22,5</t>
  </si>
  <si>
    <t>676521f25ff93f7b6d3f9271</t>
  </si>
  <si>
    <t>100X35,5</t>
  </si>
  <si>
    <t>676521f25ff93f7b6d3f9272</t>
  </si>
  <si>
    <t>60x42</t>
  </si>
  <si>
    <t>676521f25ff93f7b6d3f9273</t>
  </si>
  <si>
    <t>162x35,5</t>
  </si>
  <si>
    <t>676521f25ff93f7b6d3f9274</t>
  </si>
  <si>
    <t>405x18</t>
  </si>
  <si>
    <t>676521f35ff93f7b6d3f9275</t>
  </si>
  <si>
    <t>15Ox100</t>
  </si>
  <si>
    <t>676521f35ff93f7b6d3f9276</t>
  </si>
  <si>
    <t>29x21</t>
  </si>
  <si>
    <t>676521f35ff93f7b6d3f9277</t>
  </si>
  <si>
    <t>125x47</t>
  </si>
  <si>
    <t>676521f35ff93f7b6d3f9278</t>
  </si>
  <si>
    <t>180x120</t>
  </si>
  <si>
    <t>676521f35ff93f7b6d3f9279</t>
  </si>
  <si>
    <t>200x115</t>
  </si>
  <si>
    <t>676521e45ff93f7b6d3f91d3</t>
  </si>
  <si>
    <t>60 X 200</t>
  </si>
  <si>
    <t>676521e45ff93f7b6d3f91d4</t>
  </si>
  <si>
    <t>200 X 30,5</t>
  </si>
  <si>
    <t>676521e45ff93f7b6d3f91d5</t>
  </si>
  <si>
    <t>65 X 45</t>
  </si>
  <si>
    <t>676521e55ff93f7b6d3f91d6</t>
  </si>
  <si>
    <t>125 X 45</t>
  </si>
  <si>
    <t>676521e55ff93f7b6d3f91d7</t>
  </si>
  <si>
    <t>100 x 250</t>
  </si>
  <si>
    <t>676521e55ff93f7b6d3f91d8</t>
  </si>
  <si>
    <t xml:space="preserve">70 x 50 </t>
  </si>
  <si>
    <t>676521f35ff93f7b6d3f927a</t>
  </si>
  <si>
    <t>150x87</t>
  </si>
  <si>
    <t>676521f35ff93f7b6d3f927b</t>
  </si>
  <si>
    <t>215x35</t>
  </si>
  <si>
    <t>676521f35ff93f7b6d3f927c</t>
  </si>
  <si>
    <t>175 x 35</t>
  </si>
  <si>
    <t>676521e55ff93f7b6d3f91de</t>
  </si>
  <si>
    <t>30 x 30</t>
  </si>
  <si>
    <t>676521e55ff93f7b6d3f91df</t>
  </si>
  <si>
    <t>30 x 25</t>
  </si>
  <si>
    <t>676521e65ff93f7b6d3f91e0</t>
  </si>
  <si>
    <t>A3</t>
  </si>
  <si>
    <t>676521e65ff93f7b6d3f91e1</t>
  </si>
  <si>
    <t>30 x 10</t>
  </si>
  <si>
    <t>676521e65ff93f7b6d3f91e2</t>
  </si>
  <si>
    <t>70 x 50</t>
  </si>
  <si>
    <t>Sheet Name</t>
  </si>
  <si>
    <t>Subtotal</t>
  </si>
  <si>
    <t>afstandshouder</t>
  </si>
  <si>
    <t>hout</t>
  </si>
  <si>
    <t>plexi_opaal</t>
  </si>
  <si>
    <t>forex_zwart</t>
  </si>
  <si>
    <t>forex_wit</t>
  </si>
  <si>
    <t>zwart</t>
  </si>
  <si>
    <t>wit</t>
  </si>
  <si>
    <t>kanaalplaten</t>
  </si>
  <si>
    <t>brushed_steel</t>
  </si>
  <si>
    <t>plexiglas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</si>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</sst>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double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0" fillId="0" borderId="0" xfId="0" applyProtection="1"/>
    <xf numFmtId="164" fontId="0" fillId="0" borderId="0" xfId="0" applyNumberFormat="1" applyProtection="1"/>
    <xf numFmtId="0" fontId="0" fillId="0" borderId="0" xfId="0" applyProtection="1">
      <protection locked="0"/>
    </xf>
    <xf numFmtId="0" fontId="1" fillId="0" borderId="1" xfId="0" applyFont="1" applyBorder="1" applyProtection="1">
      <protection locked="0"/>
    </xf>
    <xf numFmtId="164" fontId="1" fillId="0" borderId="1" xfId="0" applyNumberFormat="1" applyFont="1" applyBorder="1" applyProtection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0" fontId="1" fillId="0" borderId="2" xfId="0" applyFont="1" applyBorder="1"/>
    <xf numFmtId="164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3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15</v>
      </c>
      <c r="B2" s="4">
        <v>18</v>
      </c>
      <c r="C2" s="4" t="s">
        <v>16</v>
      </c>
      <c r="D2" s="4"/>
      <c r="E2" s="4"/>
      <c r="F2" s="4"/>
      <c r="G2" s="4" t="s">
        <v>17</v>
      </c>
      <c r="H2" s="4"/>
      <c r="I2" s="4">
        <v>5.68</v>
      </c>
      <c r="J2" s="4"/>
      <c r="K2" s="4">
        <v>1.5</v>
      </c>
      <c r="L2" s="4"/>
      <c r="M2" s="4" t="s">
        <v>18</v>
      </c>
      <c r="N2" s="4"/>
      <c r="O2" s="3">
        <f>=B2*I2</f>
      </c>
    </row>
    <row r="3" spans="1:15" x14ac:dyDescent="0.25">
      <c r="A3" s="2" t="s">
        <v>19</v>
      </c>
      <c r="B3" s="4">
        <v>108</v>
      </c>
      <c r="C3" s="4" t="s">
        <v>16</v>
      </c>
      <c r="D3" s="4"/>
      <c r="E3" s="4"/>
      <c r="F3" s="4"/>
      <c r="G3" s="4" t="s">
        <v>20</v>
      </c>
      <c r="H3" s="4"/>
      <c r="I3" s="4">
        <v>0.57</v>
      </c>
      <c r="J3" s="4"/>
      <c r="K3" s="4"/>
      <c r="L3" s="4"/>
      <c r="M3" s="4" t="s">
        <v>18</v>
      </c>
      <c r="N3" s="4"/>
      <c r="O3" s="3">
        <f>=B3*I3</f>
      </c>
    </row>
    <row r="4" spans="1:15" x14ac:dyDescent="0.25">
      <c r="A4" s="2" t="s">
        <v>21</v>
      </c>
      <c r="B4" s="4">
        <v>123</v>
      </c>
      <c r="C4" s="4" t="s">
        <v>16</v>
      </c>
      <c r="D4" s="4"/>
      <c r="E4" s="4"/>
      <c r="F4" s="4"/>
      <c r="G4" s="4" t="s">
        <v>22</v>
      </c>
      <c r="H4" s="4"/>
      <c r="I4" s="4">
        <v>0.58</v>
      </c>
      <c r="J4" s="4"/>
      <c r="K4" s="4">
        <v>0</v>
      </c>
      <c r="L4" s="4"/>
      <c r="M4" s="4" t="s">
        <v>18</v>
      </c>
      <c r="N4" s="4"/>
      <c r="O4" s="3">
        <f>=B4*I4</f>
      </c>
    </row>
    <row r="5" spans="1:15" x14ac:dyDescent="0.25">
      <c r="A5" s="2" t="s">
        <v>23</v>
      </c>
      <c r="B5" s="4">
        <v>97</v>
      </c>
      <c r="C5" s="4" t="s">
        <v>16</v>
      </c>
      <c r="D5" s="4"/>
      <c r="E5" s="4"/>
      <c r="F5" s="4"/>
      <c r="G5" s="4" t="s">
        <v>24</v>
      </c>
      <c r="H5" s="4"/>
      <c r="I5" s="4">
        <v>0.61</v>
      </c>
      <c r="J5" s="4"/>
      <c r="K5" s="4"/>
      <c r="L5" s="4"/>
      <c r="M5" s="4" t="s">
        <v>18</v>
      </c>
      <c r="N5" s="4"/>
      <c r="O5" s="3">
        <f>=B5*I5</f>
      </c>
    </row>
    <row r="6" spans="1:15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25</v>
      </c>
      <c r="O6" s="6">
        <f>=SUM(O2:O5)</f>
      </c>
    </row>
  </sheetData>
  <sheetProtection sheet="1" algorithmName="SHA-512" hashValue="V5rfmJQwmWLGV8ChOHIicZoFXQJY4VwMWh+wADkjODVLHAj4n27bUaQKLxY62wsNIo6kOVGFAZrIq+7RXL5hdQ==" saltValue="6OH4fxvQn9xYLyEbG4sr8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5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26</v>
      </c>
      <c r="B2" s="4">
        <v>3</v>
      </c>
      <c r="C2" s="4" t="s">
        <v>27</v>
      </c>
      <c r="D2" s="4">
        <v>2</v>
      </c>
      <c r="E2" s="4"/>
      <c r="F2" s="4">
        <v>7.5</v>
      </c>
      <c r="G2" s="4" t="s">
        <v>28</v>
      </c>
      <c r="H2" s="4"/>
      <c r="I2" s="4"/>
      <c r="J2" s="4"/>
      <c r="K2" s="4"/>
      <c r="L2" s="4"/>
      <c r="M2" s="4" t="s">
        <v>18</v>
      </c>
      <c r="N2" s="4">
        <v>410</v>
      </c>
      <c r="O2" s="3">
        <f>=B2*(N2*F2/10000)*J2</f>
      </c>
    </row>
    <row r="3" spans="1:15" x14ac:dyDescent="0.25">
      <c r="A3" s="2" t="s">
        <v>29</v>
      </c>
      <c r="B3" s="4">
        <v>1</v>
      </c>
      <c r="C3" s="4" t="s">
        <v>27</v>
      </c>
      <c r="D3" s="4">
        <v>6</v>
      </c>
      <c r="E3" s="4"/>
      <c r="F3" s="4">
        <v>6.5</v>
      </c>
      <c r="G3" s="4" t="s">
        <v>30</v>
      </c>
      <c r="H3" s="4"/>
      <c r="I3" s="4"/>
      <c r="J3" s="4"/>
      <c r="K3" s="4"/>
      <c r="L3" s="4"/>
      <c r="M3" s="4" t="s">
        <v>18</v>
      </c>
      <c r="N3" s="4">
        <v>212</v>
      </c>
      <c r="O3" s="3">
        <f>=B3*(N3*F3/10000)*J3</f>
      </c>
    </row>
    <row r="4" spans="1:15" x14ac:dyDescent="0.25">
      <c r="A4" s="2" t="s">
        <v>31</v>
      </c>
      <c r="B4" s="4">
        <v>1</v>
      </c>
      <c r="C4" s="4" t="s">
        <v>27</v>
      </c>
      <c r="D4" s="4">
        <v>5.5</v>
      </c>
      <c r="E4" s="4"/>
      <c r="F4" s="4">
        <v>8</v>
      </c>
      <c r="G4" s="4" t="s">
        <v>32</v>
      </c>
      <c r="H4" s="4"/>
      <c r="I4" s="4"/>
      <c r="J4" s="4"/>
      <c r="K4" s="4"/>
      <c r="L4" s="4"/>
      <c r="M4" s="4" t="s">
        <v>18</v>
      </c>
      <c r="N4" s="4">
        <v>3</v>
      </c>
      <c r="O4" s="3">
        <f>=B4*(N4*F4/10000)*J4</f>
      </c>
    </row>
    <row r="5" spans="1:15" x14ac:dyDescent="0.25">
      <c r="A5" s="2" t="s">
        <v>33</v>
      </c>
      <c r="B5" s="4">
        <v>2</v>
      </c>
      <c r="C5" s="4" t="s">
        <v>27</v>
      </c>
      <c r="D5" s="4">
        <v>8.5</v>
      </c>
      <c r="E5" s="4"/>
      <c r="F5" s="4">
        <v>9</v>
      </c>
      <c r="G5" s="4" t="s">
        <v>34</v>
      </c>
      <c r="H5" s="4"/>
      <c r="I5" s="4"/>
      <c r="J5" s="4"/>
      <c r="K5" s="4"/>
      <c r="L5" s="4"/>
      <c r="M5" s="4" t="s">
        <v>18</v>
      </c>
      <c r="N5" s="4">
        <v>180</v>
      </c>
      <c r="O5" s="3">
        <f>=B5*(N5*F5/10000)*J5</f>
      </c>
    </row>
    <row r="6" spans="1:15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25</v>
      </c>
      <c r="O6" s="6">
        <f>=SUM(O2:O5)</f>
      </c>
    </row>
  </sheetData>
  <sheetProtection sheet="1" algorithmName="SHA-512" hashValue="sSkrSaaQt32M4rsnt/dwZYHNNRIYv6mMvTRrZaktJJCISezZxkJ2LtnPvxV3wbcHKzpzdWv+vsE/vfRbUt1sWw==" saltValue="JIHkWSJ2dtJ2SiHMWIO+q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7" width="11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35</v>
      </c>
      <c r="B2" s="4">
        <v>1</v>
      </c>
      <c r="C2" s="4" t="s">
        <v>27</v>
      </c>
      <c r="D2" s="4"/>
      <c r="E2" s="4"/>
      <c r="F2" s="4">
        <v>100</v>
      </c>
      <c r="G2" s="4" t="s">
        <v>36</v>
      </c>
      <c r="H2" s="4"/>
      <c r="I2" s="4"/>
      <c r="J2" s="4">
        <v>6.19</v>
      </c>
      <c r="K2" s="4">
        <v>3</v>
      </c>
      <c r="L2" s="4"/>
      <c r="M2" s="4" t="s">
        <v>18</v>
      </c>
      <c r="N2" s="4">
        <v>180</v>
      </c>
      <c r="O2" s="3">
        <f>=B2*(N2*F2/10000)*J2</f>
      </c>
    </row>
    <row r="3" spans="1:15" x14ac:dyDescent="0.25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 t="s">
        <v>25</v>
      </c>
      <c r="O3" s="6">
        <f>=SUM(O2:O2)</f>
      </c>
    </row>
  </sheetData>
  <sheetProtection sheet="1" algorithmName="SHA-512" hashValue="SfdebYoMx4LUwclL32CmXPb+R9RAZsL3PvSyXmxNJfnDkENhoAPN8pml3VcqxL07uYZKNhOeOpfYeAla0phuSA==" saltValue="uk612VBWRYFjpExiq49Gg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37</v>
      </c>
      <c r="B2" s="4">
        <v>2</v>
      </c>
      <c r="C2" s="4" t="s">
        <v>27</v>
      </c>
      <c r="D2" s="4"/>
      <c r="E2" s="4"/>
      <c r="F2" s="4">
        <v>100</v>
      </c>
      <c r="G2" s="4" t="s">
        <v>38</v>
      </c>
      <c r="H2" s="4"/>
      <c r="I2" s="4"/>
      <c r="J2" s="4">
        <v>4.76</v>
      </c>
      <c r="K2" s="4">
        <v>1</v>
      </c>
      <c r="L2" s="4"/>
      <c r="M2" s="4" t="s">
        <v>18</v>
      </c>
      <c r="N2" s="4">
        <v>120</v>
      </c>
      <c r="O2" s="3">
        <f>=B2*(N2*F2/10000)*J2</f>
      </c>
    </row>
    <row r="3" spans="1:15" x14ac:dyDescent="0.25">
      <c r="A3" s="2" t="s">
        <v>39</v>
      </c>
      <c r="B3" s="4">
        <v>1</v>
      </c>
      <c r="C3" s="4" t="s">
        <v>27</v>
      </c>
      <c r="D3" s="4"/>
      <c r="E3" s="4"/>
      <c r="F3" s="4">
        <v>118</v>
      </c>
      <c r="G3" s="4" t="s">
        <v>40</v>
      </c>
      <c r="H3" s="4"/>
      <c r="I3" s="4"/>
      <c r="J3" s="4">
        <v>4.76</v>
      </c>
      <c r="K3" s="4">
        <v>4</v>
      </c>
      <c r="L3" s="4"/>
      <c r="M3" s="4" t="s">
        <v>18</v>
      </c>
      <c r="N3" s="4">
        <v>122</v>
      </c>
      <c r="O3" s="3">
        <f>=B3*(N3*F3/10000)*J3</f>
      </c>
    </row>
    <row r="4" spans="1:15" x14ac:dyDescent="0.25">
      <c r="A4" s="2" t="s">
        <v>41</v>
      </c>
      <c r="B4" s="4">
        <v>1</v>
      </c>
      <c r="C4" s="4" t="s">
        <v>27</v>
      </c>
      <c r="D4" s="4"/>
      <c r="E4" s="4"/>
      <c r="F4" s="4">
        <v>40</v>
      </c>
      <c r="G4" s="4" t="s">
        <v>42</v>
      </c>
      <c r="H4" s="4"/>
      <c r="I4" s="4"/>
      <c r="J4" s="4">
        <v>4.76</v>
      </c>
      <c r="K4" s="4"/>
      <c r="L4" s="4"/>
      <c r="M4" s="4" t="s">
        <v>18</v>
      </c>
      <c r="N4" s="4">
        <v>30</v>
      </c>
      <c r="O4" s="3">
        <f>=B4*(N4*F4/10000)*J4</f>
      </c>
    </row>
    <row r="5" spans="1:15" x14ac:dyDescent="0.25">
      <c r="A5" s="2" t="s">
        <v>43</v>
      </c>
      <c r="B5" s="4">
        <v>1</v>
      </c>
      <c r="C5" s="4" t="s">
        <v>27</v>
      </c>
      <c r="D5" s="4"/>
      <c r="E5" s="4"/>
      <c r="F5" s="4">
        <v>147</v>
      </c>
      <c r="G5" s="4" t="s">
        <v>44</v>
      </c>
      <c r="H5" s="4"/>
      <c r="I5" s="4"/>
      <c r="J5" s="4">
        <v>4.76</v>
      </c>
      <c r="K5" s="4">
        <v>4</v>
      </c>
      <c r="L5" s="4"/>
      <c r="M5" s="4" t="s">
        <v>18</v>
      </c>
      <c r="N5" s="4">
        <v>150</v>
      </c>
      <c r="O5" s="3">
        <f>=B5*(N5*F5/10000)*J5</f>
      </c>
    </row>
    <row r="6" spans="1:15" x14ac:dyDescent="0.25">
      <c r="A6" s="2" t="s">
        <v>45</v>
      </c>
      <c r="B6" s="4">
        <v>1</v>
      </c>
      <c r="C6" s="4" t="s">
        <v>27</v>
      </c>
      <c r="D6" s="4"/>
      <c r="E6" s="4"/>
      <c r="F6" s="4">
        <v>42</v>
      </c>
      <c r="G6" s="4" t="s">
        <v>46</v>
      </c>
      <c r="H6" s="4"/>
      <c r="I6" s="4"/>
      <c r="J6" s="4">
        <v>4.76</v>
      </c>
      <c r="K6" s="4"/>
      <c r="L6" s="4"/>
      <c r="M6" s="4" t="s">
        <v>18</v>
      </c>
      <c r="N6" s="4">
        <v>44</v>
      </c>
      <c r="O6" s="3">
        <f>=B6*(N6*F6/10000)*J6</f>
      </c>
    </row>
    <row r="7" spans="1:15" x14ac:dyDescent="0.25">
      <c r="A7" s="2" t="s">
        <v>47</v>
      </c>
      <c r="B7" s="4">
        <v>2</v>
      </c>
      <c r="C7" s="4" t="s">
        <v>27</v>
      </c>
      <c r="D7" s="4"/>
      <c r="E7" s="4"/>
      <c r="F7" s="4">
        <v>18</v>
      </c>
      <c r="G7" s="4" t="s">
        <v>48</v>
      </c>
      <c r="H7" s="4"/>
      <c r="I7" s="4"/>
      <c r="J7" s="4">
        <v>4.76</v>
      </c>
      <c r="K7" s="4">
        <v>1</v>
      </c>
      <c r="L7" s="4"/>
      <c r="M7" s="4" t="s">
        <v>18</v>
      </c>
      <c r="N7" s="4">
        <v>200</v>
      </c>
      <c r="O7" s="3">
        <f>=B7*(N7*F7/10000)*J7</f>
      </c>
    </row>
    <row r="8" spans="1:15" x14ac:dyDescent="0.25">
      <c r="A8" s="2" t="s">
        <v>49</v>
      </c>
      <c r="B8" s="4">
        <v>1</v>
      </c>
      <c r="C8" s="4" t="s">
        <v>27</v>
      </c>
      <c r="D8" s="4"/>
      <c r="E8" s="4"/>
      <c r="F8" s="4">
        <v>120</v>
      </c>
      <c r="G8" s="4" t="s">
        <v>50</v>
      </c>
      <c r="H8" s="4"/>
      <c r="I8" s="4"/>
      <c r="J8" s="4">
        <v>4.76</v>
      </c>
      <c r="K8" s="4">
        <v>4</v>
      </c>
      <c r="L8" s="4"/>
      <c r="M8" s="4" t="s">
        <v>18</v>
      </c>
      <c r="N8" s="4">
        <v>204</v>
      </c>
      <c r="O8" s="3">
        <f>=B8*(N8*F8/10000)*J8</f>
      </c>
    </row>
    <row r="9" spans="1:15" x14ac:dyDescent="0.25">
      <c r="A9" s="2" t="s">
        <v>51</v>
      </c>
      <c r="B9" s="4">
        <v>1</v>
      </c>
      <c r="C9" s="4" t="s">
        <v>27</v>
      </c>
      <c r="D9" s="4"/>
      <c r="E9" s="4"/>
      <c r="F9" s="4">
        <v>9.5</v>
      </c>
      <c r="G9" s="4" t="s">
        <v>52</v>
      </c>
      <c r="H9" s="4"/>
      <c r="I9" s="4"/>
      <c r="J9" s="4">
        <v>4.76</v>
      </c>
      <c r="K9" s="4">
        <v>4</v>
      </c>
      <c r="L9" s="4"/>
      <c r="M9" s="4" t="s">
        <v>18</v>
      </c>
      <c r="N9" s="4">
        <v>23</v>
      </c>
      <c r="O9" s="3">
        <f>=B9*(N9*F9/10000)*J9</f>
      </c>
    </row>
    <row r="10" spans="1:15" x14ac:dyDescent="0.25">
      <c r="A10" s="2" t="s">
        <v>53</v>
      </c>
      <c r="B10" s="4">
        <v>1</v>
      </c>
      <c r="C10" s="4" t="s">
        <v>27</v>
      </c>
      <c r="D10" s="4"/>
      <c r="E10" s="4"/>
      <c r="F10" s="4">
        <v>18</v>
      </c>
      <c r="G10" s="4" t="s">
        <v>54</v>
      </c>
      <c r="H10" s="4"/>
      <c r="I10" s="4"/>
      <c r="J10" s="4">
        <v>4.76</v>
      </c>
      <c r="K10" s="4">
        <v>5</v>
      </c>
      <c r="L10" s="4"/>
      <c r="M10" s="4" t="s">
        <v>18</v>
      </c>
      <c r="N10" s="4">
        <v>24</v>
      </c>
      <c r="O10" s="3">
        <f>=B10*(N10*F10/10000)*J10</f>
      </c>
    </row>
    <row r="11" spans="1:15" x14ac:dyDescent="0.25">
      <c r="A11" s="2" t="s">
        <v>55</v>
      </c>
      <c r="B11" s="4">
        <v>1</v>
      </c>
      <c r="C11" s="4" t="s">
        <v>27</v>
      </c>
      <c r="D11" s="4"/>
      <c r="E11" s="4"/>
      <c r="F11" s="4">
        <v>97</v>
      </c>
      <c r="G11" s="4" t="s">
        <v>56</v>
      </c>
      <c r="H11" s="4"/>
      <c r="I11" s="4"/>
      <c r="J11" s="4">
        <v>4.76</v>
      </c>
      <c r="K11" s="4">
        <v>5</v>
      </c>
      <c r="L11" s="4"/>
      <c r="M11" s="4" t="s">
        <v>18</v>
      </c>
      <c r="N11" s="4">
        <v>24</v>
      </c>
      <c r="O11" s="3">
        <f>=B11*(N11*F11/10000)*J11</f>
      </c>
    </row>
    <row r="12" spans="1:15" x14ac:dyDescent="0.25">
      <c r="A12" s="2" t="s">
        <v>57</v>
      </c>
      <c r="B12" s="4">
        <v>3</v>
      </c>
      <c r="C12" s="4" t="s">
        <v>27</v>
      </c>
      <c r="D12" s="4"/>
      <c r="E12" s="4"/>
      <c r="F12" s="4">
        <v>30</v>
      </c>
      <c r="G12" s="4" t="s">
        <v>58</v>
      </c>
      <c r="H12" s="4"/>
      <c r="I12" s="4"/>
      <c r="J12" s="4">
        <v>4.76</v>
      </c>
      <c r="K12" s="4">
        <v>7</v>
      </c>
      <c r="L12" s="4"/>
      <c r="M12" s="4" t="s">
        <v>18</v>
      </c>
      <c r="N12" s="4">
        <v>30</v>
      </c>
      <c r="O12" s="3">
        <f>=B12*(N12*F12/10000)*J12</f>
      </c>
    </row>
    <row r="13" spans="1:15" x14ac:dyDescent="0.25">
      <c r="A13" s="2" t="s">
        <v>59</v>
      </c>
      <c r="B13" s="4">
        <v>8</v>
      </c>
      <c r="C13" s="4" t="s">
        <v>27</v>
      </c>
      <c r="D13" s="4"/>
      <c r="E13" s="4"/>
      <c r="F13" s="4">
        <v>29</v>
      </c>
      <c r="G13" s="4" t="s">
        <v>60</v>
      </c>
      <c r="H13" s="4"/>
      <c r="I13" s="4"/>
      <c r="J13" s="4">
        <v>4.76</v>
      </c>
      <c r="K13" s="4">
        <v>4</v>
      </c>
      <c r="L13" s="4"/>
      <c r="M13" s="4" t="s">
        <v>18</v>
      </c>
      <c r="N13" s="4">
        <v>32</v>
      </c>
      <c r="O13" s="3">
        <f>=B13*(N13*F13/10000)*J13</f>
      </c>
    </row>
    <row r="14" spans="1:15" x14ac:dyDescent="0.25">
      <c r="A14" s="2" t="s">
        <v>61</v>
      </c>
      <c r="B14" s="4">
        <v>1</v>
      </c>
      <c r="C14" s="4" t="s">
        <v>27</v>
      </c>
      <c r="D14" s="4"/>
      <c r="E14" s="4"/>
      <c r="F14" s="4">
        <v>29</v>
      </c>
      <c r="G14" s="4" t="s">
        <v>62</v>
      </c>
      <c r="H14" s="4"/>
      <c r="I14" s="4"/>
      <c r="J14" s="4">
        <v>4.76</v>
      </c>
      <c r="K14" s="4">
        <v>5</v>
      </c>
      <c r="L14" s="4"/>
      <c r="M14" s="4" t="s">
        <v>18</v>
      </c>
      <c r="N14" s="4">
        <v>34</v>
      </c>
      <c r="O14" s="3">
        <f>=B14*(N14*F14/10000)*J14</f>
      </c>
    </row>
    <row r="15" spans="1:15" x14ac:dyDescent="0.25">
      <c r="A15" s="2" t="s">
        <v>63</v>
      </c>
      <c r="B15" s="4">
        <v>1</v>
      </c>
      <c r="C15" s="4" t="s">
        <v>27</v>
      </c>
      <c r="D15" s="4"/>
      <c r="E15" s="4"/>
      <c r="F15" s="4">
        <v>18</v>
      </c>
      <c r="G15" s="4" t="s">
        <v>64</v>
      </c>
      <c r="H15" s="4"/>
      <c r="I15" s="4"/>
      <c r="J15" s="4">
        <v>4.76</v>
      </c>
      <c r="K15" s="4">
        <v>5</v>
      </c>
      <c r="L15" s="4"/>
      <c r="M15" s="4" t="s">
        <v>18</v>
      </c>
      <c r="N15" s="4">
        <v>40</v>
      </c>
      <c r="O15" s="3">
        <f>=B15*(N15*F15/10000)*J15</f>
      </c>
    </row>
    <row r="16" spans="1:15" x14ac:dyDescent="0.25">
      <c r="A16" s="2" t="s">
        <v>65</v>
      </c>
      <c r="B16" s="4">
        <v>1</v>
      </c>
      <c r="C16" s="4" t="s">
        <v>27</v>
      </c>
      <c r="D16" s="4"/>
      <c r="E16" s="4"/>
      <c r="F16" s="4">
        <v>40</v>
      </c>
      <c r="G16" s="4" t="s">
        <v>66</v>
      </c>
      <c r="H16" s="4"/>
      <c r="I16" s="4"/>
      <c r="J16" s="4">
        <v>4.76</v>
      </c>
      <c r="K16" s="4">
        <v>5</v>
      </c>
      <c r="L16" s="4"/>
      <c r="M16" s="4" t="s">
        <v>18</v>
      </c>
      <c r="N16" s="4">
        <v>40</v>
      </c>
      <c r="O16" s="3">
        <f>=B16*(N16*F16/10000)*J16</f>
      </c>
    </row>
    <row r="17" spans="1:15" x14ac:dyDescent="0.25">
      <c r="A17" s="2" t="s">
        <v>67</v>
      </c>
      <c r="B17" s="4">
        <v>1</v>
      </c>
      <c r="C17" s="4" t="s">
        <v>27</v>
      </c>
      <c r="D17" s="4"/>
      <c r="E17" s="4"/>
      <c r="F17" s="4">
        <v>50</v>
      </c>
      <c r="G17" s="4" t="s">
        <v>68</v>
      </c>
      <c r="H17" s="4"/>
      <c r="I17" s="4"/>
      <c r="J17" s="4">
        <v>4.76</v>
      </c>
      <c r="K17" s="4"/>
      <c r="L17" s="4"/>
      <c r="M17" s="4" t="s">
        <v>18</v>
      </c>
      <c r="N17" s="4">
        <v>47</v>
      </c>
      <c r="O17" s="3">
        <f>=B17*(N17*F17/10000)*J17</f>
      </c>
    </row>
    <row r="18" spans="1:15" x14ac:dyDescent="0.25">
      <c r="A18" s="2" t="s">
        <v>69</v>
      </c>
      <c r="B18" s="4">
        <v>1</v>
      </c>
      <c r="C18" s="4" t="s">
        <v>27</v>
      </c>
      <c r="D18" s="4"/>
      <c r="E18" s="4"/>
      <c r="F18" s="4">
        <v>35</v>
      </c>
      <c r="G18" s="4" t="s">
        <v>70</v>
      </c>
      <c r="H18" s="4"/>
      <c r="I18" s="4"/>
      <c r="J18" s="4">
        <v>4.76</v>
      </c>
      <c r="K18" s="4"/>
      <c r="L18" s="4"/>
      <c r="M18" s="4" t="s">
        <v>18</v>
      </c>
      <c r="N18" s="4">
        <v>93</v>
      </c>
      <c r="O18" s="3">
        <f>=B18*(N18*F18/10000)*J18</f>
      </c>
    </row>
    <row r="19" spans="1:15" x14ac:dyDescent="0.25">
      <c r="A19" s="2" t="s">
        <v>71</v>
      </c>
      <c r="B19" s="4">
        <v>1</v>
      </c>
      <c r="C19" s="4" t="s">
        <v>27</v>
      </c>
      <c r="D19" s="4"/>
      <c r="E19" s="4"/>
      <c r="F19" s="4">
        <v>40</v>
      </c>
      <c r="G19" s="4" t="s">
        <v>72</v>
      </c>
      <c r="H19" s="4"/>
      <c r="I19" s="4"/>
      <c r="J19" s="4">
        <v>4.76</v>
      </c>
      <c r="K19" s="4"/>
      <c r="L19" s="4"/>
      <c r="M19" s="4" t="s">
        <v>18</v>
      </c>
      <c r="N19" s="4">
        <v>100</v>
      </c>
      <c r="O19" s="3">
        <f>=B19*(N19*F19/10000)*J19</f>
      </c>
    </row>
    <row r="20" spans="1:15" x14ac:dyDescent="0.25">
      <c r="A20" s="2" t="s">
        <v>73</v>
      </c>
      <c r="B20" s="4">
        <v>1</v>
      </c>
      <c r="C20" s="4" t="s">
        <v>27</v>
      </c>
      <c r="D20" s="4"/>
      <c r="E20" s="4"/>
      <c r="F20" s="4">
        <v>11</v>
      </c>
      <c r="G20" s="4" t="s">
        <v>74</v>
      </c>
      <c r="H20" s="4"/>
      <c r="I20" s="4"/>
      <c r="J20" s="4">
        <v>4.76</v>
      </c>
      <c r="K20" s="4"/>
      <c r="L20" s="4"/>
      <c r="M20" s="4" t="s">
        <v>18</v>
      </c>
      <c r="N20" s="4">
        <v>53</v>
      </c>
      <c r="O20" s="3">
        <f>=B20*(N20*F20/10000)*J20</f>
      </c>
    </row>
    <row r="21" spans="1:15" x14ac:dyDescent="0.25">
      <c r="A21" s="2" t="s">
        <v>75</v>
      </c>
      <c r="B21" s="4">
        <v>1</v>
      </c>
      <c r="C21" s="4" t="s">
        <v>27</v>
      </c>
      <c r="D21" s="4"/>
      <c r="E21" s="4"/>
      <c r="F21" s="4">
        <v>24</v>
      </c>
      <c r="G21" s="4" t="s">
        <v>76</v>
      </c>
      <c r="H21" s="4"/>
      <c r="I21" s="4"/>
      <c r="J21" s="4">
        <v>4.76</v>
      </c>
      <c r="K21" s="4"/>
      <c r="L21" s="4"/>
      <c r="M21" s="4" t="s">
        <v>18</v>
      </c>
      <c r="N21" s="4">
        <v>97</v>
      </c>
      <c r="O21" s="3">
        <f>=B21*(N21*F21/10000)*J21</f>
      </c>
    </row>
    <row r="22" spans="1:15" x14ac:dyDescent="0.25">
      <c r="A22" s="2" t="s">
        <v>77</v>
      </c>
      <c r="B22" s="4">
        <v>1</v>
      </c>
      <c r="C22" s="4" t="s">
        <v>27</v>
      </c>
      <c r="D22" s="4"/>
      <c r="E22" s="4"/>
      <c r="F22" s="4">
        <v>18</v>
      </c>
      <c r="G22" s="4" t="s">
        <v>78</v>
      </c>
      <c r="H22" s="4"/>
      <c r="I22" s="4"/>
      <c r="J22" s="4">
        <v>4.76</v>
      </c>
      <c r="K22" s="4">
        <v>5</v>
      </c>
      <c r="L22" s="4"/>
      <c r="M22" s="4" t="s">
        <v>18</v>
      </c>
      <c r="N22" s="4">
        <v>50</v>
      </c>
      <c r="O22" s="3">
        <f>=B22*(N22*F22/10000)*J22</f>
      </c>
    </row>
    <row r="23" spans="1:15" x14ac:dyDescent="0.25">
      <c r="A23" s="2" t="s">
        <v>79</v>
      </c>
      <c r="B23" s="4">
        <v>1</v>
      </c>
      <c r="C23" s="4" t="s">
        <v>27</v>
      </c>
      <c r="D23" s="4"/>
      <c r="E23" s="4"/>
      <c r="F23" s="4">
        <v>50</v>
      </c>
      <c r="G23" s="4" t="s">
        <v>80</v>
      </c>
      <c r="H23" s="4"/>
      <c r="I23" s="4"/>
      <c r="J23" s="4">
        <v>4.76</v>
      </c>
      <c r="K23" s="4">
        <v>2</v>
      </c>
      <c r="L23" s="4"/>
      <c r="M23" s="4" t="s">
        <v>18</v>
      </c>
      <c r="N23" s="4">
        <v>50</v>
      </c>
      <c r="O23" s="3">
        <f>=B23*(N23*F23/10000)*J23</f>
      </c>
    </row>
    <row r="24" spans="1:15" x14ac:dyDescent="0.25">
      <c r="A24" s="2" t="s">
        <v>81</v>
      </c>
      <c r="B24" s="4">
        <v>1</v>
      </c>
      <c r="C24" s="4" t="s">
        <v>27</v>
      </c>
      <c r="D24" s="4"/>
      <c r="E24" s="4"/>
      <c r="F24" s="4">
        <v>20</v>
      </c>
      <c r="G24" s="4" t="s">
        <v>82</v>
      </c>
      <c r="H24" s="4"/>
      <c r="I24" s="4"/>
      <c r="J24" s="4">
        <v>4.76</v>
      </c>
      <c r="K24" s="4">
        <v>5</v>
      </c>
      <c r="L24" s="4"/>
      <c r="M24" s="4" t="s">
        <v>18</v>
      </c>
      <c r="N24" s="4">
        <v>50</v>
      </c>
      <c r="O24" s="3">
        <f>=B24*(N24*F24/10000)*J24</f>
      </c>
    </row>
    <row r="25" spans="1:15" x14ac:dyDescent="0.25">
      <c r="A25" s="2" t="s">
        <v>83</v>
      </c>
      <c r="B25" s="4">
        <v>1</v>
      </c>
      <c r="C25" s="4" t="s">
        <v>27</v>
      </c>
      <c r="D25" s="4"/>
      <c r="E25" s="4"/>
      <c r="F25" s="4">
        <v>123</v>
      </c>
      <c r="G25" s="4" t="s">
        <v>84</v>
      </c>
      <c r="H25" s="4"/>
      <c r="I25" s="4"/>
      <c r="J25" s="4">
        <v>4.76</v>
      </c>
      <c r="K25" s="4"/>
      <c r="L25" s="4"/>
      <c r="M25" s="4" t="s">
        <v>18</v>
      </c>
      <c r="N25" s="4">
        <v>305</v>
      </c>
      <c r="O25" s="3">
        <f>=B25*(N25*F25/10000)*J25</f>
      </c>
    </row>
    <row r="26" spans="1:15" x14ac:dyDescent="0.25">
      <c r="A26" s="2" t="s">
        <v>85</v>
      </c>
      <c r="B26" s="4">
        <v>1</v>
      </c>
      <c r="C26" s="4" t="s">
        <v>27</v>
      </c>
      <c r="D26" s="4"/>
      <c r="E26" s="4"/>
      <c r="F26" s="4">
        <v>100</v>
      </c>
      <c r="G26" s="4" t="s">
        <v>86</v>
      </c>
      <c r="H26" s="4"/>
      <c r="I26" s="4"/>
      <c r="J26" s="4">
        <v>4.76</v>
      </c>
      <c r="K26" s="4"/>
      <c r="L26" s="4"/>
      <c r="M26" s="4" t="s">
        <v>18</v>
      </c>
      <c r="N26" s="4">
        <v>27</v>
      </c>
      <c r="O26" s="3">
        <f>=B26*(N26*F26/10000)*J26</f>
      </c>
    </row>
    <row r="27" spans="1:15" x14ac:dyDescent="0.25">
      <c r="A27" s="2" t="s">
        <v>87</v>
      </c>
      <c r="B27" s="4">
        <v>1</v>
      </c>
      <c r="C27" s="4" t="s">
        <v>27</v>
      </c>
      <c r="D27" s="4"/>
      <c r="E27" s="4"/>
      <c r="F27" s="4">
        <v>22</v>
      </c>
      <c r="G27" s="4" t="s">
        <v>88</v>
      </c>
      <c r="H27" s="4"/>
      <c r="I27" s="4"/>
      <c r="J27" s="4">
        <v>4.76</v>
      </c>
      <c r="K27" s="4">
        <v>5</v>
      </c>
      <c r="L27" s="4"/>
      <c r="M27" s="4" t="s">
        <v>18</v>
      </c>
      <c r="N27" s="4">
        <v>59</v>
      </c>
      <c r="O27" s="3">
        <f>=B27*(N27*F27/10000)*J27</f>
      </c>
    </row>
    <row r="28" spans="1:15" x14ac:dyDescent="0.25">
      <c r="A28" s="2" t="s">
        <v>89</v>
      </c>
      <c r="B28" s="4">
        <v>3</v>
      </c>
      <c r="C28" s="4" t="s">
        <v>27</v>
      </c>
      <c r="D28" s="4"/>
      <c r="E28" s="4"/>
      <c r="F28" s="4">
        <v>17.5</v>
      </c>
      <c r="G28" s="4" t="s">
        <v>90</v>
      </c>
      <c r="H28" s="4"/>
      <c r="I28" s="4"/>
      <c r="J28" s="4">
        <v>4.76</v>
      </c>
      <c r="K28" s="4">
        <v>5</v>
      </c>
      <c r="L28" s="4"/>
      <c r="M28" s="4" t="s">
        <v>18</v>
      </c>
      <c r="N28" s="4">
        <v>60</v>
      </c>
      <c r="O28" s="3">
        <f>=B28*(N28*F28/10000)*J28</f>
      </c>
    </row>
    <row r="29" spans="1:15" x14ac:dyDescent="0.25">
      <c r="A29" s="2" t="s">
        <v>91</v>
      </c>
      <c r="B29" s="4">
        <v>2</v>
      </c>
      <c r="C29" s="4" t="s">
        <v>27</v>
      </c>
      <c r="D29" s="4"/>
      <c r="E29" s="4"/>
      <c r="F29" s="4">
        <v>38</v>
      </c>
      <c r="G29" s="4" t="s">
        <v>92</v>
      </c>
      <c r="H29" s="4"/>
      <c r="I29" s="4"/>
      <c r="J29" s="4">
        <v>4.76</v>
      </c>
      <c r="K29" s="4">
        <v>8</v>
      </c>
      <c r="L29" s="4"/>
      <c r="M29" s="4" t="s">
        <v>18</v>
      </c>
      <c r="N29" s="4">
        <v>60</v>
      </c>
      <c r="O29" s="3">
        <f>=B29*(N29*F29/10000)*J29</f>
      </c>
    </row>
    <row r="30" spans="1:15" x14ac:dyDescent="0.25">
      <c r="A30" s="2" t="s">
        <v>93</v>
      </c>
      <c r="B30" s="4">
        <v>2</v>
      </c>
      <c r="C30" s="4" t="s">
        <v>27</v>
      </c>
      <c r="D30" s="4"/>
      <c r="E30" s="4"/>
      <c r="F30" s="4">
        <v>60</v>
      </c>
      <c r="G30" s="4" t="s">
        <v>94</v>
      </c>
      <c r="H30" s="4"/>
      <c r="I30" s="4"/>
      <c r="J30" s="4">
        <v>4.76</v>
      </c>
      <c r="K30" s="4">
        <v>2</v>
      </c>
      <c r="L30" s="4"/>
      <c r="M30" s="4" t="s">
        <v>18</v>
      </c>
      <c r="N30" s="4">
        <v>60</v>
      </c>
      <c r="O30" s="3">
        <f>=B30*(N30*F30/10000)*J30</f>
      </c>
    </row>
    <row r="31" spans="1:15" x14ac:dyDescent="0.25">
      <c r="A31" s="2" t="s">
        <v>95</v>
      </c>
      <c r="B31" s="4">
        <v>1</v>
      </c>
      <c r="C31" s="4" t="s">
        <v>27</v>
      </c>
      <c r="D31" s="4"/>
      <c r="E31" s="4"/>
      <c r="F31" s="4">
        <v>108.5</v>
      </c>
      <c r="G31" s="4" t="s">
        <v>96</v>
      </c>
      <c r="H31" s="4"/>
      <c r="I31" s="4"/>
      <c r="J31" s="4">
        <v>4.76</v>
      </c>
      <c r="K31" s="4"/>
      <c r="L31" s="4"/>
      <c r="M31" s="4" t="s">
        <v>18</v>
      </c>
      <c r="N31" s="4">
        <v>22.5</v>
      </c>
      <c r="O31" s="3">
        <f>=B31*(N31*F31/10000)*J31</f>
      </c>
    </row>
    <row r="32" spans="1:15" x14ac:dyDescent="0.25">
      <c r="A32" s="2" t="s">
        <v>97</v>
      </c>
      <c r="B32" s="4">
        <v>1</v>
      </c>
      <c r="C32" s="4" t="s">
        <v>27</v>
      </c>
      <c r="D32" s="4"/>
      <c r="E32" s="4"/>
      <c r="F32" s="4">
        <v>51</v>
      </c>
      <c r="G32" s="4" t="s">
        <v>98</v>
      </c>
      <c r="H32" s="4"/>
      <c r="I32" s="4"/>
      <c r="J32" s="4">
        <v>4.76</v>
      </c>
      <c r="K32" s="4"/>
      <c r="L32" s="4"/>
      <c r="M32" s="4" t="s">
        <v>18</v>
      </c>
      <c r="N32" s="4">
        <v>80</v>
      </c>
      <c r="O32" s="3">
        <f>=B32*(N32*F32/10000)*J32</f>
      </c>
    </row>
    <row r="33" spans="1:15" x14ac:dyDescent="0.25">
      <c r="A33" s="2" t="s">
        <v>99</v>
      </c>
      <c r="B33" s="4">
        <v>1</v>
      </c>
      <c r="C33" s="4" t="s">
        <v>27</v>
      </c>
      <c r="D33" s="4"/>
      <c r="E33" s="4"/>
      <c r="F33" s="4">
        <v>37</v>
      </c>
      <c r="G33" s="4" t="s">
        <v>100</v>
      </c>
      <c r="H33" s="4"/>
      <c r="I33" s="4"/>
      <c r="J33" s="4">
        <v>4.76</v>
      </c>
      <c r="K33" s="4">
        <v>5</v>
      </c>
      <c r="L33" s="4"/>
      <c r="M33" s="4" t="s">
        <v>18</v>
      </c>
      <c r="N33" s="4">
        <v>48.5</v>
      </c>
      <c r="O33" s="3">
        <f>=B33*(N33*F33/10000)*J33</f>
      </c>
    </row>
    <row r="34" spans="1:15" x14ac:dyDescent="0.25">
      <c r="A34" s="2" t="s">
        <v>101</v>
      </c>
      <c r="B34" s="4">
        <v>1</v>
      </c>
      <c r="C34" s="4" t="s">
        <v>27</v>
      </c>
      <c r="D34" s="4"/>
      <c r="E34" s="4"/>
      <c r="F34" s="4">
        <v>72.5</v>
      </c>
      <c r="G34" s="4" t="s">
        <v>102</v>
      </c>
      <c r="H34" s="4"/>
      <c r="I34" s="4"/>
      <c r="J34" s="4">
        <v>4.76</v>
      </c>
      <c r="K34" s="4">
        <v>5</v>
      </c>
      <c r="L34" s="4"/>
      <c r="M34" s="4" t="s">
        <v>18</v>
      </c>
      <c r="N34" s="4">
        <v>137</v>
      </c>
      <c r="O34" s="3">
        <f>=B34*(N34*F34/10000)*J34</f>
      </c>
    </row>
    <row r="35" spans="1:15" x14ac:dyDescent="0.25">
      <c r="A35" s="2" t="s">
        <v>103</v>
      </c>
      <c r="B35" s="4">
        <v>2</v>
      </c>
      <c r="C35" s="4" t="s">
        <v>27</v>
      </c>
      <c r="D35" s="4"/>
      <c r="E35" s="4"/>
      <c r="F35" s="4">
        <v>35</v>
      </c>
      <c r="G35" s="4" t="s">
        <v>104</v>
      </c>
      <c r="H35" s="4"/>
      <c r="I35" s="4"/>
      <c r="J35" s="4">
        <v>4.76</v>
      </c>
      <c r="K35" s="4">
        <v>3</v>
      </c>
      <c r="L35" s="4"/>
      <c r="M35" s="4" t="s">
        <v>18</v>
      </c>
      <c r="N35" s="4">
        <v>72</v>
      </c>
      <c r="O35" s="3">
        <f>=B35*(N35*F35/10000)*J35</f>
      </c>
    </row>
    <row r="36" spans="1:15" x14ac:dyDescent="0.25">
      <c r="A36" s="2" t="s">
        <v>105</v>
      </c>
      <c r="B36" s="4">
        <v>1</v>
      </c>
      <c r="C36" s="4" t="s">
        <v>27</v>
      </c>
      <c r="D36" s="4"/>
      <c r="E36" s="4"/>
      <c r="F36" s="4">
        <v>24</v>
      </c>
      <c r="G36" s="4" t="s">
        <v>106</v>
      </c>
      <c r="H36" s="4"/>
      <c r="I36" s="4"/>
      <c r="J36" s="4">
        <v>4.76</v>
      </c>
      <c r="K36" s="4">
        <v>3</v>
      </c>
      <c r="L36" s="4"/>
      <c r="M36" s="4" t="s">
        <v>18</v>
      </c>
      <c r="N36" s="4">
        <v>64</v>
      </c>
      <c r="O36" s="3">
        <f>=B36*(N36*F36/10000)*J36</f>
      </c>
    </row>
    <row r="37" spans="1:15" x14ac:dyDescent="0.25">
      <c r="A37" s="2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5" t="s">
        <v>25</v>
      </c>
      <c r="O37" s="6">
        <f>=SUM(O2:O36)</f>
      </c>
    </row>
  </sheetData>
  <sheetProtection sheet="1" algorithmName="SHA-512" hashValue="RrY0sHgwuf1pMHUfXv1FZvCOB+CDwbiUzmoNyaywDDyIOTUkox4R83G0r9DeHf63sO3k7bmwzPyl8+Z3iPne+g==" saltValue="Dh8+UaYJLIaPTIjA7I48R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3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107</v>
      </c>
      <c r="B2" s="4">
        <v>1</v>
      </c>
      <c r="C2" s="4" t="s">
        <v>27</v>
      </c>
      <c r="D2" s="4"/>
      <c r="E2" s="4"/>
      <c r="F2" s="4">
        <v>20</v>
      </c>
      <c r="G2" s="4" t="s">
        <v>108</v>
      </c>
      <c r="H2" s="4"/>
      <c r="I2" s="4"/>
      <c r="J2" s="4">
        <v>6.08</v>
      </c>
      <c r="K2" s="4"/>
      <c r="L2" s="4"/>
      <c r="M2" s="4" t="s">
        <v>18</v>
      </c>
      <c r="N2" s="4">
        <v>50</v>
      </c>
      <c r="O2" s="3">
        <f>=B2*(N2*F2/10000)*J2</f>
      </c>
    </row>
    <row r="3" spans="1:15" x14ac:dyDescent="0.25">
      <c r="A3" s="2" t="s">
        <v>109</v>
      </c>
      <c r="B3" s="4">
        <v>1</v>
      </c>
      <c r="C3" s="4" t="s">
        <v>27</v>
      </c>
      <c r="D3" s="4"/>
      <c r="E3" s="4"/>
      <c r="F3" s="4">
        <v>20</v>
      </c>
      <c r="G3" s="4" t="s">
        <v>110</v>
      </c>
      <c r="H3" s="4"/>
      <c r="I3" s="4"/>
      <c r="J3" s="4">
        <v>6.08</v>
      </c>
      <c r="K3" s="4"/>
      <c r="L3" s="4"/>
      <c r="M3" s="4" t="s">
        <v>18</v>
      </c>
      <c r="N3" s="4">
        <v>122.5</v>
      </c>
      <c r="O3" s="3">
        <f>=B3*(N3*F3/10000)*J3</f>
      </c>
    </row>
    <row r="4" spans="1:15" x14ac:dyDescent="0.25">
      <c r="A4" s="2" t="s">
        <v>111</v>
      </c>
      <c r="B4" s="4">
        <v>1</v>
      </c>
      <c r="C4" s="4" t="s">
        <v>27</v>
      </c>
      <c r="D4" s="4"/>
      <c r="E4" s="4"/>
      <c r="F4" s="4">
        <v>29</v>
      </c>
      <c r="G4" s="4" t="s">
        <v>112</v>
      </c>
      <c r="H4" s="4"/>
      <c r="I4" s="4"/>
      <c r="J4" s="4">
        <v>6.08</v>
      </c>
      <c r="K4" s="4"/>
      <c r="L4" s="4"/>
      <c r="M4" s="4" t="s">
        <v>18</v>
      </c>
      <c r="N4" s="4">
        <v>34</v>
      </c>
      <c r="O4" s="3">
        <f>=B4*(N4*F4/10000)*J4</f>
      </c>
    </row>
    <row r="5" spans="1:15" x14ac:dyDescent="0.25">
      <c r="A5" s="2" t="s">
        <v>113</v>
      </c>
      <c r="B5" s="4">
        <v>1</v>
      </c>
      <c r="C5" s="4" t="s">
        <v>27</v>
      </c>
      <c r="D5" s="4"/>
      <c r="E5" s="4"/>
      <c r="F5" s="4">
        <v>29</v>
      </c>
      <c r="G5" s="4" t="s">
        <v>114</v>
      </c>
      <c r="H5" s="4"/>
      <c r="I5" s="4"/>
      <c r="J5" s="4">
        <v>6.08</v>
      </c>
      <c r="K5" s="4"/>
      <c r="L5" s="4"/>
      <c r="M5" s="4" t="s">
        <v>18</v>
      </c>
      <c r="N5" s="4">
        <v>32</v>
      </c>
      <c r="O5" s="3">
        <f>=B5*(N5*F5/10000)*J5</f>
      </c>
    </row>
    <row r="6" spans="1:15" x14ac:dyDescent="0.25">
      <c r="A6" s="2" t="s">
        <v>115</v>
      </c>
      <c r="B6" s="4">
        <v>2</v>
      </c>
      <c r="C6" s="4" t="s">
        <v>27</v>
      </c>
      <c r="D6" s="4"/>
      <c r="E6" s="4"/>
      <c r="F6" s="4">
        <v>29</v>
      </c>
      <c r="G6" s="4" t="s">
        <v>116</v>
      </c>
      <c r="H6" s="4"/>
      <c r="I6" s="4"/>
      <c r="J6" s="4">
        <v>6.08</v>
      </c>
      <c r="K6" s="4"/>
      <c r="L6" s="4"/>
      <c r="M6" s="4" t="s">
        <v>18</v>
      </c>
      <c r="N6" s="4">
        <v>42</v>
      </c>
      <c r="O6" s="3">
        <f>=B6*(N6*F6/10000)*J6</f>
      </c>
    </row>
    <row r="7" spans="1:15" x14ac:dyDescent="0.25">
      <c r="A7" s="2" t="s">
        <v>117</v>
      </c>
      <c r="B7" s="4">
        <v>2</v>
      </c>
      <c r="C7" s="4" t="s">
        <v>27</v>
      </c>
      <c r="D7" s="4"/>
      <c r="E7" s="4"/>
      <c r="F7" s="4">
        <v>60</v>
      </c>
      <c r="G7" s="4" t="s">
        <v>118</v>
      </c>
      <c r="H7" s="4"/>
      <c r="I7" s="4"/>
      <c r="J7" s="4">
        <v>6.08</v>
      </c>
      <c r="K7" s="4"/>
      <c r="L7" s="4"/>
      <c r="M7" s="4" t="s">
        <v>18</v>
      </c>
      <c r="N7" s="4">
        <v>23</v>
      </c>
      <c r="O7" s="3">
        <f>=B7*(N7*F7/10000)*J7</f>
      </c>
    </row>
    <row r="8" spans="1:15" x14ac:dyDescent="0.25">
      <c r="A8" s="2" t="s">
        <v>119</v>
      </c>
      <c r="B8" s="4">
        <v>2</v>
      </c>
      <c r="C8" s="4" t="s">
        <v>27</v>
      </c>
      <c r="D8" s="4"/>
      <c r="E8" s="4"/>
      <c r="F8" s="4">
        <v>22</v>
      </c>
      <c r="G8" s="4" t="s">
        <v>120</v>
      </c>
      <c r="H8" s="4"/>
      <c r="I8" s="4"/>
      <c r="J8" s="4">
        <v>6.08</v>
      </c>
      <c r="K8" s="4"/>
      <c r="L8" s="4"/>
      <c r="M8" s="4" t="s">
        <v>18</v>
      </c>
      <c r="N8" s="4">
        <v>59</v>
      </c>
      <c r="O8" s="3">
        <f>=B8*(N8*F8/10000)*J8</f>
      </c>
    </row>
    <row r="9" spans="1:15" x14ac:dyDescent="0.25">
      <c r="A9" s="2" t="s">
        <v>121</v>
      </c>
      <c r="B9" s="4">
        <v>1</v>
      </c>
      <c r="C9" s="4" t="s">
        <v>27</v>
      </c>
      <c r="D9" s="4"/>
      <c r="E9" s="4"/>
      <c r="F9" s="4">
        <v>20</v>
      </c>
      <c r="G9" s="4" t="s">
        <v>122</v>
      </c>
      <c r="H9" s="4"/>
      <c r="I9" s="4"/>
      <c r="J9" s="4">
        <v>6.08</v>
      </c>
      <c r="K9" s="4"/>
      <c r="L9" s="4"/>
      <c r="M9" s="4" t="s">
        <v>18</v>
      </c>
      <c r="N9" s="4">
        <v>50</v>
      </c>
      <c r="O9" s="3">
        <f>=B9*(N9*F9/10000)*J9</f>
      </c>
    </row>
    <row r="10" spans="1:15" x14ac:dyDescent="0.25">
      <c r="A10" s="2" t="s">
        <v>123</v>
      </c>
      <c r="B10" s="4">
        <v>1</v>
      </c>
      <c r="C10" s="4" t="s">
        <v>27</v>
      </c>
      <c r="D10" s="4"/>
      <c r="E10" s="4"/>
      <c r="F10" s="4">
        <v>14.5</v>
      </c>
      <c r="G10" s="4" t="s">
        <v>124</v>
      </c>
      <c r="H10" s="4"/>
      <c r="I10" s="4"/>
      <c r="J10" s="4">
        <v>6.08</v>
      </c>
      <c r="K10" s="4"/>
      <c r="L10" s="4"/>
      <c r="M10" s="4" t="s">
        <v>18</v>
      </c>
      <c r="N10" s="4">
        <v>50</v>
      </c>
      <c r="O10" s="3">
        <f>=B10*(N10*F10/10000)*J10</f>
      </c>
    </row>
    <row r="11" spans="1:15" x14ac:dyDescent="0.25">
      <c r="A11" s="2" t="s">
        <v>125</v>
      </c>
      <c r="B11" s="4">
        <v>2</v>
      </c>
      <c r="C11" s="4" t="s">
        <v>27</v>
      </c>
      <c r="D11" s="4"/>
      <c r="E11" s="4"/>
      <c r="F11" s="4">
        <v>35</v>
      </c>
      <c r="G11" s="4" t="s">
        <v>126</v>
      </c>
      <c r="H11" s="4"/>
      <c r="I11" s="4"/>
      <c r="J11" s="4">
        <v>6.08</v>
      </c>
      <c r="K11" s="4">
        <v>1</v>
      </c>
      <c r="L11" s="4"/>
      <c r="M11" s="4" t="s">
        <v>18</v>
      </c>
      <c r="N11" s="4">
        <v>45</v>
      </c>
      <c r="O11" s="3">
        <f>=B11*(N11*F11/10000)*J11</f>
      </c>
    </row>
    <row r="12" spans="1:15" x14ac:dyDescent="0.25">
      <c r="A12" s="2" t="s">
        <v>127</v>
      </c>
      <c r="B12" s="4">
        <v>1</v>
      </c>
      <c r="C12" s="4" t="s">
        <v>27</v>
      </c>
      <c r="D12" s="4"/>
      <c r="E12" s="4"/>
      <c r="F12" s="4">
        <v>50</v>
      </c>
      <c r="G12" s="4" t="s">
        <v>128</v>
      </c>
      <c r="H12" s="4"/>
      <c r="I12" s="4"/>
      <c r="J12" s="4">
        <v>6.08</v>
      </c>
      <c r="K12" s="4">
        <v>1</v>
      </c>
      <c r="L12" s="4"/>
      <c r="M12" s="4" t="s">
        <v>18</v>
      </c>
      <c r="N12" s="4">
        <v>22.5</v>
      </c>
      <c r="O12" s="3">
        <f>=B12*(N12*F12/10000)*J12</f>
      </c>
    </row>
    <row r="13" spans="1:15" x14ac:dyDescent="0.25">
      <c r="A13" s="2" t="s">
        <v>129</v>
      </c>
      <c r="B13" s="4">
        <v>1</v>
      </c>
      <c r="C13" s="4" t="s">
        <v>27</v>
      </c>
      <c r="D13" s="4"/>
      <c r="E13" s="4"/>
      <c r="F13" s="4">
        <v>17.5</v>
      </c>
      <c r="G13" s="4" t="s">
        <v>90</v>
      </c>
      <c r="H13" s="4"/>
      <c r="I13" s="4"/>
      <c r="J13" s="4">
        <v>6.08</v>
      </c>
      <c r="K13" s="4"/>
      <c r="L13" s="4"/>
      <c r="M13" s="4" t="s">
        <v>18</v>
      </c>
      <c r="N13" s="4">
        <v>60</v>
      </c>
      <c r="O13" s="3">
        <f>=B13*(N13*F13/10000)*J13</f>
      </c>
    </row>
    <row r="14" spans="1:15" x14ac:dyDescent="0.25">
      <c r="A14" s="2" t="s">
        <v>130</v>
      </c>
      <c r="B14" s="4">
        <v>4</v>
      </c>
      <c r="C14" s="4" t="s">
        <v>27</v>
      </c>
      <c r="D14" s="4"/>
      <c r="E14" s="4"/>
      <c r="F14" s="4">
        <v>9.5</v>
      </c>
      <c r="G14" s="4" t="s">
        <v>131</v>
      </c>
      <c r="H14" s="4"/>
      <c r="I14" s="4"/>
      <c r="J14" s="4">
        <v>6.08</v>
      </c>
      <c r="K14" s="4"/>
      <c r="L14" s="4"/>
      <c r="M14" s="4" t="s">
        <v>18</v>
      </c>
      <c r="N14" s="4">
        <v>24</v>
      </c>
      <c r="O14" s="3">
        <f>=B14*(N14*F14/10000)*J14</f>
      </c>
    </row>
    <row r="15" spans="1:15" x14ac:dyDescent="0.25">
      <c r="A15" s="2" t="s">
        <v>132</v>
      </c>
      <c r="B15" s="4">
        <v>3</v>
      </c>
      <c r="C15" s="4" t="s">
        <v>27</v>
      </c>
      <c r="D15" s="4"/>
      <c r="E15" s="4"/>
      <c r="F15" s="4">
        <v>15</v>
      </c>
      <c r="G15" s="4" t="s">
        <v>133</v>
      </c>
      <c r="H15" s="4"/>
      <c r="I15" s="4"/>
      <c r="J15" s="4">
        <v>6.08</v>
      </c>
      <c r="K15" s="4"/>
      <c r="L15" s="4"/>
      <c r="M15" s="4" t="s">
        <v>18</v>
      </c>
      <c r="N15" s="4">
        <v>20</v>
      </c>
      <c r="O15" s="3">
        <f>=B15*(N15*F15/10000)*J15</f>
      </c>
    </row>
    <row r="16" spans="1:15" x14ac:dyDescent="0.25">
      <c r="A16" s="2" t="s">
        <v>134</v>
      </c>
      <c r="B16" s="4">
        <v>3</v>
      </c>
      <c r="C16" s="4" t="s">
        <v>27</v>
      </c>
      <c r="D16" s="4"/>
      <c r="E16" s="4"/>
      <c r="F16" s="4">
        <v>18</v>
      </c>
      <c r="G16" s="4" t="s">
        <v>135</v>
      </c>
      <c r="H16" s="4"/>
      <c r="I16" s="4"/>
      <c r="J16" s="4">
        <v>6.08</v>
      </c>
      <c r="K16" s="4"/>
      <c r="L16" s="4"/>
      <c r="M16" s="4" t="s">
        <v>18</v>
      </c>
      <c r="N16" s="4">
        <v>20</v>
      </c>
      <c r="O16" s="3">
        <f>=B16*(N16*F16/10000)*J16</f>
      </c>
    </row>
    <row r="17" spans="1:15" x14ac:dyDescent="0.25">
      <c r="A17" s="2" t="s">
        <v>136</v>
      </c>
      <c r="B17" s="4">
        <v>7</v>
      </c>
      <c r="C17" s="4" t="s">
        <v>27</v>
      </c>
      <c r="D17" s="4"/>
      <c r="E17" s="4"/>
      <c r="F17" s="4">
        <v>18</v>
      </c>
      <c r="G17" s="4" t="s">
        <v>54</v>
      </c>
      <c r="H17" s="4"/>
      <c r="I17" s="4"/>
      <c r="J17" s="4">
        <v>6.08</v>
      </c>
      <c r="K17" s="4"/>
      <c r="L17" s="4"/>
      <c r="M17" s="4" t="s">
        <v>18</v>
      </c>
      <c r="N17" s="4">
        <v>24</v>
      </c>
      <c r="O17" s="3">
        <f>=B17*(N17*F17/10000)*J17</f>
      </c>
    </row>
    <row r="18" spans="1:15" x14ac:dyDescent="0.25">
      <c r="A18" s="2" t="s">
        <v>137</v>
      </c>
      <c r="B18" s="4">
        <v>1</v>
      </c>
      <c r="C18" s="4" t="s">
        <v>27</v>
      </c>
      <c r="D18" s="4"/>
      <c r="E18" s="4"/>
      <c r="F18" s="4">
        <v>22</v>
      </c>
      <c r="G18" s="4" t="s">
        <v>138</v>
      </c>
      <c r="H18" s="4"/>
      <c r="I18" s="4"/>
      <c r="J18" s="4">
        <v>6.08</v>
      </c>
      <c r="K18" s="4"/>
      <c r="L18" s="4"/>
      <c r="M18" s="4" t="s">
        <v>18</v>
      </c>
      <c r="N18" s="4">
        <v>31</v>
      </c>
      <c r="O18" s="3">
        <f>=B18*(N18*F18/10000)*J18</f>
      </c>
    </row>
    <row r="19" spans="1:15" x14ac:dyDescent="0.25">
      <c r="A19" s="2" t="s">
        <v>139</v>
      </c>
      <c r="B19" s="4">
        <v>3</v>
      </c>
      <c r="C19" s="4" t="s">
        <v>27</v>
      </c>
      <c r="D19" s="4"/>
      <c r="E19" s="4"/>
      <c r="F19" s="4">
        <v>30</v>
      </c>
      <c r="G19" s="4" t="s">
        <v>140</v>
      </c>
      <c r="H19" s="4"/>
      <c r="I19" s="4"/>
      <c r="J19" s="4">
        <v>6.08</v>
      </c>
      <c r="K19" s="4"/>
      <c r="L19" s="4"/>
      <c r="M19" s="4" t="s">
        <v>18</v>
      </c>
      <c r="N19" s="4">
        <v>30</v>
      </c>
      <c r="O19" s="3">
        <f>=B19*(N19*F19/10000)*J19</f>
      </c>
    </row>
    <row r="20" spans="1:15" x14ac:dyDescent="0.25">
      <c r="A20" s="2" t="s">
        <v>141</v>
      </c>
      <c r="B20" s="4">
        <v>2</v>
      </c>
      <c r="C20" s="4" t="s">
        <v>27</v>
      </c>
      <c r="D20" s="4"/>
      <c r="E20" s="4"/>
      <c r="F20" s="4">
        <v>50</v>
      </c>
      <c r="G20" s="4" t="s">
        <v>142</v>
      </c>
      <c r="H20" s="4"/>
      <c r="I20" s="4"/>
      <c r="J20" s="4">
        <v>6.08</v>
      </c>
      <c r="K20" s="4">
        <v>8</v>
      </c>
      <c r="L20" s="4"/>
      <c r="M20" s="4" t="s">
        <v>18</v>
      </c>
      <c r="N20" s="4">
        <v>40</v>
      </c>
      <c r="O20" s="3">
        <f>=B20*(N20*F20/10000)*J20</f>
      </c>
    </row>
    <row r="21" spans="1:15" x14ac:dyDescent="0.25">
      <c r="A21" s="2" t="s">
        <v>143</v>
      </c>
      <c r="B21" s="4">
        <v>0</v>
      </c>
      <c r="C21" s="4" t="s">
        <v>27</v>
      </c>
      <c r="D21" s="4"/>
      <c r="E21" s="4"/>
      <c r="F21" s="4">
        <v>50</v>
      </c>
      <c r="G21" s="4" t="s">
        <v>80</v>
      </c>
      <c r="H21" s="4"/>
      <c r="I21" s="4"/>
      <c r="J21" s="4">
        <v>6.08</v>
      </c>
      <c r="K21" s="4">
        <v>1</v>
      </c>
      <c r="L21" s="4"/>
      <c r="M21" s="4" t="s">
        <v>18</v>
      </c>
      <c r="N21" s="4">
        <v>50</v>
      </c>
      <c r="O21" s="3">
        <f>=B21*(N21*F21/10000)*J21</f>
      </c>
    </row>
    <row r="22" spans="1:15" x14ac:dyDescent="0.25">
      <c r="A22" s="2" t="s">
        <v>144</v>
      </c>
      <c r="B22" s="4">
        <v>7</v>
      </c>
      <c r="C22" s="4" t="s">
        <v>27</v>
      </c>
      <c r="D22" s="4"/>
      <c r="E22" s="4"/>
      <c r="F22" s="4">
        <v>35.5</v>
      </c>
      <c r="G22" s="4" t="s">
        <v>145</v>
      </c>
      <c r="H22" s="4"/>
      <c r="I22" s="4"/>
      <c r="J22" s="4">
        <v>6.08</v>
      </c>
      <c r="K22" s="4">
        <v>3</v>
      </c>
      <c r="L22" s="4"/>
      <c r="M22" s="4" t="s">
        <v>18</v>
      </c>
      <c r="N22" s="4">
        <v>22.5</v>
      </c>
      <c r="O22" s="3">
        <f>=B22*(N22*F22/10000)*J22</f>
      </c>
    </row>
    <row r="23" spans="1:15" x14ac:dyDescent="0.25">
      <c r="A23" s="2" t="s">
        <v>146</v>
      </c>
      <c r="B23" s="4">
        <v>1</v>
      </c>
      <c r="C23" s="4" t="s">
        <v>27</v>
      </c>
      <c r="D23" s="4"/>
      <c r="E23" s="4"/>
      <c r="F23" s="4">
        <v>58</v>
      </c>
      <c r="G23" s="4" t="s">
        <v>147</v>
      </c>
      <c r="H23" s="4"/>
      <c r="I23" s="4"/>
      <c r="J23" s="4">
        <v>6.08</v>
      </c>
      <c r="K23" s="4"/>
      <c r="L23" s="4"/>
      <c r="M23" s="4" t="s">
        <v>18</v>
      </c>
      <c r="N23" s="4">
        <v>28</v>
      </c>
      <c r="O23" s="3">
        <f>=B23*(N23*F23/10000)*J23</f>
      </c>
    </row>
    <row r="24" spans="1:15" x14ac:dyDescent="0.25">
      <c r="A24" s="2" t="s">
        <v>148</v>
      </c>
      <c r="B24" s="4">
        <v>1</v>
      </c>
      <c r="C24" s="4" t="s">
        <v>27</v>
      </c>
      <c r="D24" s="4"/>
      <c r="E24" s="4"/>
      <c r="F24" s="4">
        <v>21.5</v>
      </c>
      <c r="G24" s="4" t="s">
        <v>149</v>
      </c>
      <c r="H24" s="4"/>
      <c r="I24" s="4"/>
      <c r="J24" s="4">
        <v>6.08</v>
      </c>
      <c r="K24" s="4"/>
      <c r="L24" s="4"/>
      <c r="M24" s="4" t="s">
        <v>18</v>
      </c>
      <c r="N24" s="4">
        <v>110</v>
      </c>
      <c r="O24" s="3">
        <f>=B24*(N24*F24/10000)*J24</f>
      </c>
    </row>
    <row r="25" spans="1:15" x14ac:dyDescent="0.25">
      <c r="A25" s="2" t="s">
        <v>150</v>
      </c>
      <c r="B25" s="4">
        <v>1</v>
      </c>
      <c r="C25" s="4" t="s">
        <v>27</v>
      </c>
      <c r="D25" s="4"/>
      <c r="E25" s="4"/>
      <c r="F25" s="4">
        <v>25</v>
      </c>
      <c r="G25" s="4" t="s">
        <v>151</v>
      </c>
      <c r="H25" s="4"/>
      <c r="I25" s="4"/>
      <c r="J25" s="4">
        <v>6.08</v>
      </c>
      <c r="K25" s="4"/>
      <c r="L25" s="4"/>
      <c r="M25" s="4" t="s">
        <v>18</v>
      </c>
      <c r="N25" s="4">
        <v>105</v>
      </c>
      <c r="O25" s="3">
        <f>=B25*(N25*F25/10000)*J25</f>
      </c>
    </row>
    <row r="26" spans="1:15" x14ac:dyDescent="0.25">
      <c r="A26" s="2" t="s">
        <v>152</v>
      </c>
      <c r="B26" s="4">
        <v>1</v>
      </c>
      <c r="C26" s="4" t="s">
        <v>27</v>
      </c>
      <c r="D26" s="4"/>
      <c r="E26" s="4"/>
      <c r="F26" s="4">
        <v>25</v>
      </c>
      <c r="G26" s="4" t="s">
        <v>153</v>
      </c>
      <c r="H26" s="4"/>
      <c r="I26" s="4"/>
      <c r="J26" s="4">
        <v>6.08</v>
      </c>
      <c r="K26" s="4"/>
      <c r="L26" s="4"/>
      <c r="M26" s="4" t="s">
        <v>18</v>
      </c>
      <c r="N26" s="4">
        <v>120</v>
      </c>
      <c r="O26" s="3">
        <f>=B26*(N26*F26/10000)*J26</f>
      </c>
    </row>
    <row r="27" spans="1:15" x14ac:dyDescent="0.25">
      <c r="A27" s="2" t="s">
        <v>154</v>
      </c>
      <c r="B27" s="4">
        <v>1</v>
      </c>
      <c r="C27" s="4" t="s">
        <v>27</v>
      </c>
      <c r="D27" s="4"/>
      <c r="E27" s="4"/>
      <c r="F27" s="4">
        <v>131</v>
      </c>
      <c r="G27" s="4" t="s">
        <v>155</v>
      </c>
      <c r="H27" s="4"/>
      <c r="I27" s="4"/>
      <c r="J27" s="4">
        <v>6.08</v>
      </c>
      <c r="K27" s="4"/>
      <c r="L27" s="4"/>
      <c r="M27" s="4" t="s">
        <v>18</v>
      </c>
      <c r="N27" s="4">
        <v>24</v>
      </c>
      <c r="O27" s="3">
        <f>=B27*(N27*F27/10000)*J27</f>
      </c>
    </row>
    <row r="28" spans="1:15" x14ac:dyDescent="0.25">
      <c r="A28" s="2" t="s">
        <v>156</v>
      </c>
      <c r="B28" s="4">
        <v>1</v>
      </c>
      <c r="C28" s="4" t="s">
        <v>27</v>
      </c>
      <c r="D28" s="4"/>
      <c r="E28" s="4"/>
      <c r="F28" s="4">
        <v>30</v>
      </c>
      <c r="G28" s="4" t="s">
        <v>157</v>
      </c>
      <c r="H28" s="4"/>
      <c r="I28" s="4"/>
      <c r="J28" s="4">
        <v>6.08</v>
      </c>
      <c r="K28" s="4"/>
      <c r="L28" s="4"/>
      <c r="M28" s="4" t="s">
        <v>18</v>
      </c>
      <c r="N28" s="4">
        <v>49</v>
      </c>
      <c r="O28" s="3">
        <f>=B28*(N28*F28/10000)*J28</f>
      </c>
    </row>
    <row r="29" spans="1:15" x14ac:dyDescent="0.25">
      <c r="A29" s="2" t="s">
        <v>158</v>
      </c>
      <c r="B29" s="4">
        <v>1</v>
      </c>
      <c r="C29" s="4" t="s">
        <v>27</v>
      </c>
      <c r="D29" s="4"/>
      <c r="E29" s="4"/>
      <c r="F29" s="4">
        <v>79</v>
      </c>
      <c r="G29" s="4" t="s">
        <v>159</v>
      </c>
      <c r="H29" s="4"/>
      <c r="I29" s="4"/>
      <c r="J29" s="4">
        <v>6.08</v>
      </c>
      <c r="K29" s="4"/>
      <c r="L29" s="4"/>
      <c r="M29" s="4" t="s">
        <v>18</v>
      </c>
      <c r="N29" s="4">
        <v>29</v>
      </c>
      <c r="O29" s="3">
        <f>=B29*(N29*F29/10000)*J29</f>
      </c>
    </row>
    <row r="30" spans="1:15" x14ac:dyDescent="0.25">
      <c r="A30" s="2" t="s">
        <v>160</v>
      </c>
      <c r="B30" s="4">
        <v>1</v>
      </c>
      <c r="C30" s="4" t="s">
        <v>27</v>
      </c>
      <c r="D30" s="4"/>
      <c r="E30" s="4"/>
      <c r="F30" s="4">
        <v>14.5</v>
      </c>
      <c r="G30" s="4" t="s">
        <v>161</v>
      </c>
      <c r="H30" s="4"/>
      <c r="I30" s="4"/>
      <c r="J30" s="4">
        <v>6.08</v>
      </c>
      <c r="K30" s="4"/>
      <c r="L30" s="4"/>
      <c r="M30" s="4" t="s">
        <v>18</v>
      </c>
      <c r="N30" s="4">
        <v>80</v>
      </c>
      <c r="O30" s="3">
        <f>=B30*(N30*F30/10000)*J30</f>
      </c>
    </row>
    <row r="31" spans="1:15" x14ac:dyDescent="0.25">
      <c r="A31" s="2" t="s">
        <v>162</v>
      </c>
      <c r="B31" s="4">
        <v>1</v>
      </c>
      <c r="C31" s="4" t="s">
        <v>27</v>
      </c>
      <c r="D31" s="4"/>
      <c r="E31" s="4"/>
      <c r="F31" s="4">
        <v>38</v>
      </c>
      <c r="G31" s="4" t="s">
        <v>163</v>
      </c>
      <c r="H31" s="4"/>
      <c r="I31" s="4"/>
      <c r="J31" s="4">
        <v>6.08</v>
      </c>
      <c r="K31" s="4"/>
      <c r="L31" s="4"/>
      <c r="M31" s="4" t="s">
        <v>18</v>
      </c>
      <c r="N31" s="4">
        <v>42</v>
      </c>
      <c r="O31" s="3">
        <f>=B31*(N31*F31/10000)*J31</f>
      </c>
    </row>
    <row r="32" spans="1:15" x14ac:dyDescent="0.25">
      <c r="A32" s="2" t="s">
        <v>164</v>
      </c>
      <c r="B32" s="4">
        <v>1</v>
      </c>
      <c r="C32" s="4" t="s">
        <v>27</v>
      </c>
      <c r="D32" s="4"/>
      <c r="E32" s="4"/>
      <c r="F32" s="4">
        <v>19</v>
      </c>
      <c r="G32" s="4" t="s">
        <v>165</v>
      </c>
      <c r="H32" s="4"/>
      <c r="I32" s="4"/>
      <c r="J32" s="4">
        <v>6.08</v>
      </c>
      <c r="K32" s="4"/>
      <c r="L32" s="4"/>
      <c r="M32" s="4" t="s">
        <v>18</v>
      </c>
      <c r="N32" s="4">
        <v>42</v>
      </c>
      <c r="O32" s="3">
        <f>=B32*(N32*F32/10000)*J32</f>
      </c>
    </row>
    <row r="33" spans="1:15" x14ac:dyDescent="0.25">
      <c r="A33" s="2" t="s">
        <v>166</v>
      </c>
      <c r="B33" s="4">
        <v>1</v>
      </c>
      <c r="C33" s="4" t="s">
        <v>27</v>
      </c>
      <c r="D33" s="4"/>
      <c r="E33" s="4"/>
      <c r="F33" s="4">
        <v>19</v>
      </c>
      <c r="G33" s="4" t="s">
        <v>167</v>
      </c>
      <c r="H33" s="4"/>
      <c r="I33" s="4"/>
      <c r="J33" s="4">
        <v>6.08</v>
      </c>
      <c r="K33" s="4"/>
      <c r="L33" s="4"/>
      <c r="M33" s="4" t="s">
        <v>18</v>
      </c>
      <c r="N33" s="4">
        <v>79</v>
      </c>
      <c r="O33" s="3">
        <f>=B33*(N33*F33/10000)*J33</f>
      </c>
    </row>
    <row r="34" spans="1:15" x14ac:dyDescent="0.25">
      <c r="A34" s="2" t="s">
        <v>168</v>
      </c>
      <c r="B34" s="4">
        <v>1</v>
      </c>
      <c r="C34" s="4" t="s">
        <v>27</v>
      </c>
      <c r="D34" s="4"/>
      <c r="E34" s="4"/>
      <c r="F34" s="4">
        <v>52</v>
      </c>
      <c r="G34" s="4" t="s">
        <v>169</v>
      </c>
      <c r="H34" s="4"/>
      <c r="I34" s="4"/>
      <c r="J34" s="4">
        <v>6.08</v>
      </c>
      <c r="K34" s="4"/>
      <c r="L34" s="4"/>
      <c r="M34" s="4" t="s">
        <v>18</v>
      </c>
      <c r="N34" s="4">
        <v>48</v>
      </c>
      <c r="O34" s="3">
        <f>=B34*(N34*F34/10000)*J34</f>
      </c>
    </row>
    <row r="35" spans="1:15" x14ac:dyDescent="0.25">
      <c r="A35" s="2" t="s">
        <v>170</v>
      </c>
      <c r="B35" s="4">
        <v>1</v>
      </c>
      <c r="C35" s="4" t="s">
        <v>27</v>
      </c>
      <c r="D35" s="4"/>
      <c r="E35" s="4"/>
      <c r="F35" s="4">
        <v>33</v>
      </c>
      <c r="G35" s="4" t="s">
        <v>171</v>
      </c>
      <c r="H35" s="4"/>
      <c r="I35" s="4"/>
      <c r="J35" s="4">
        <v>6.08</v>
      </c>
      <c r="K35" s="4">
        <v>3</v>
      </c>
      <c r="L35" s="4"/>
      <c r="M35" s="4" t="s">
        <v>18</v>
      </c>
      <c r="N35" s="4">
        <v>37</v>
      </c>
      <c r="O35" s="3">
        <f>=B35*(N35*F35/10000)*J35</f>
      </c>
    </row>
    <row r="36" spans="1:15" x14ac:dyDescent="0.25">
      <c r="A36" s="2" t="s">
        <v>172</v>
      </c>
      <c r="B36" s="4">
        <v>1</v>
      </c>
      <c r="C36" s="4" t="s">
        <v>27</v>
      </c>
      <c r="D36" s="4"/>
      <c r="E36" s="4"/>
      <c r="F36" s="4">
        <v>35</v>
      </c>
      <c r="G36" s="4" t="s">
        <v>173</v>
      </c>
      <c r="H36" s="4"/>
      <c r="I36" s="4"/>
      <c r="J36" s="4">
        <v>6.08</v>
      </c>
      <c r="K36" s="4">
        <v>3</v>
      </c>
      <c r="L36" s="4"/>
      <c r="M36" s="4" t="s">
        <v>18</v>
      </c>
      <c r="N36" s="4">
        <v>46.5</v>
      </c>
      <c r="O36" s="3">
        <f>=B36*(N36*F36/10000)*J36</f>
      </c>
    </row>
    <row r="37" spans="1:15" x14ac:dyDescent="0.25">
      <c r="A37" s="2" t="s">
        <v>174</v>
      </c>
      <c r="B37" s="4">
        <v>1</v>
      </c>
      <c r="C37" s="4" t="s">
        <v>27</v>
      </c>
      <c r="D37" s="4"/>
      <c r="E37" s="4"/>
      <c r="F37" s="4">
        <v>67</v>
      </c>
      <c r="G37" s="4" t="s">
        <v>175</v>
      </c>
      <c r="H37" s="4"/>
      <c r="I37" s="4"/>
      <c r="J37" s="4">
        <v>6.08</v>
      </c>
      <c r="K37" s="4">
        <v>3</v>
      </c>
      <c r="L37" s="4"/>
      <c r="M37" s="4" t="s">
        <v>18</v>
      </c>
      <c r="N37" s="4">
        <v>85</v>
      </c>
      <c r="O37" s="3">
        <f>=B37*(N37*F37/10000)*J37</f>
      </c>
    </row>
    <row r="38" spans="1:15" x14ac:dyDescent="0.25">
      <c r="A38" s="2" t="s">
        <v>176</v>
      </c>
      <c r="B38" s="4">
        <v>1</v>
      </c>
      <c r="C38" s="4" t="s">
        <v>27</v>
      </c>
      <c r="D38" s="4"/>
      <c r="E38" s="4"/>
      <c r="F38" s="4">
        <v>47</v>
      </c>
      <c r="G38" s="4" t="s">
        <v>177</v>
      </c>
      <c r="H38" s="4"/>
      <c r="I38" s="4"/>
      <c r="J38" s="4">
        <v>6.08</v>
      </c>
      <c r="K38" s="4">
        <v>3</v>
      </c>
      <c r="L38" s="4"/>
      <c r="M38" s="4" t="s">
        <v>18</v>
      </c>
      <c r="N38" s="4">
        <v>12.5</v>
      </c>
      <c r="O38" s="3">
        <f>=B38*(N38*F38/10000)*J38</f>
      </c>
    </row>
    <row r="39" spans="1:15" x14ac:dyDescent="0.25">
      <c r="A39" s="2" t="s">
        <v>178</v>
      </c>
      <c r="B39" s="4">
        <v>1</v>
      </c>
      <c r="C39" s="4" t="s">
        <v>27</v>
      </c>
      <c r="D39" s="4"/>
      <c r="E39" s="4"/>
      <c r="F39" s="4">
        <v>114.3</v>
      </c>
      <c r="G39" s="4" t="s">
        <v>179</v>
      </c>
      <c r="H39" s="4"/>
      <c r="I39" s="4"/>
      <c r="J39" s="4">
        <v>6.08</v>
      </c>
      <c r="K39" s="4">
        <v>3</v>
      </c>
      <c r="L39" s="4"/>
      <c r="M39" s="4" t="s">
        <v>18</v>
      </c>
      <c r="N39" s="4">
        <v>12</v>
      </c>
      <c r="O39" s="3">
        <f>=B39*(N39*F39/10000)*J39</f>
      </c>
    </row>
    <row r="40" spans="1:15" x14ac:dyDescent="0.25">
      <c r="A40" s="2" t="s">
        <v>180</v>
      </c>
      <c r="B40" s="4">
        <v>1</v>
      </c>
      <c r="C40" s="4" t="s">
        <v>27</v>
      </c>
      <c r="D40" s="4"/>
      <c r="E40" s="4"/>
      <c r="F40" s="4">
        <v>183</v>
      </c>
      <c r="G40" s="4" t="s">
        <v>181</v>
      </c>
      <c r="H40" s="4"/>
      <c r="I40" s="4"/>
      <c r="J40" s="4">
        <v>6.08</v>
      </c>
      <c r="K40" s="4">
        <v>3</v>
      </c>
      <c r="L40" s="4"/>
      <c r="M40" s="4" t="s">
        <v>18</v>
      </c>
      <c r="N40" s="4">
        <v>40</v>
      </c>
      <c r="O40" s="3">
        <f>=B40*(N40*F40/10000)*J40</f>
      </c>
    </row>
    <row r="41" spans="1:15" x14ac:dyDescent="0.25">
      <c r="A41" s="2" t="s">
        <v>182</v>
      </c>
      <c r="B41" s="4">
        <v>1</v>
      </c>
      <c r="C41" s="4" t="s">
        <v>27</v>
      </c>
      <c r="D41" s="4"/>
      <c r="E41" s="4"/>
      <c r="F41" s="4">
        <v>143</v>
      </c>
      <c r="G41" s="4" t="s">
        <v>183</v>
      </c>
      <c r="H41" s="4"/>
      <c r="I41" s="4"/>
      <c r="J41" s="4">
        <v>6.08</v>
      </c>
      <c r="K41" s="4">
        <v>3</v>
      </c>
      <c r="L41" s="4"/>
      <c r="M41" s="4" t="s">
        <v>18</v>
      </c>
      <c r="N41" s="4">
        <v>47.5</v>
      </c>
      <c r="O41" s="3">
        <f>=B41*(N41*F41/10000)*J41</f>
      </c>
    </row>
    <row r="42" spans="1:15" x14ac:dyDescent="0.25">
      <c r="A42" s="2" t="s">
        <v>184</v>
      </c>
      <c r="B42" s="4">
        <v>1</v>
      </c>
      <c r="C42" s="4" t="s">
        <v>27</v>
      </c>
      <c r="D42" s="4"/>
      <c r="E42" s="4"/>
      <c r="F42" s="4">
        <v>27.5</v>
      </c>
      <c r="G42" s="4" t="s">
        <v>185</v>
      </c>
      <c r="H42" s="4"/>
      <c r="I42" s="4"/>
      <c r="J42" s="4">
        <v>6.08</v>
      </c>
      <c r="K42" s="4">
        <v>3</v>
      </c>
      <c r="L42" s="4"/>
      <c r="M42" s="4" t="s">
        <v>18</v>
      </c>
      <c r="N42" s="4">
        <v>33</v>
      </c>
      <c r="O42" s="3">
        <f>=B42*(N42*F42/10000)*J42</f>
      </c>
    </row>
    <row r="43" spans="1:15" x14ac:dyDescent="0.25">
      <c r="A43" s="2" t="s">
        <v>186</v>
      </c>
      <c r="B43" s="4">
        <v>0</v>
      </c>
      <c r="C43" s="4" t="s">
        <v>27</v>
      </c>
      <c r="D43" s="4"/>
      <c r="E43" s="4"/>
      <c r="F43" s="4">
        <v>47.5</v>
      </c>
      <c r="G43" s="4" t="s">
        <v>187</v>
      </c>
      <c r="H43" s="4"/>
      <c r="I43" s="4"/>
      <c r="J43" s="4">
        <v>6.08</v>
      </c>
      <c r="K43" s="4">
        <v>3</v>
      </c>
      <c r="L43" s="4"/>
      <c r="M43" s="4" t="s">
        <v>18</v>
      </c>
      <c r="N43" s="4">
        <v>143</v>
      </c>
      <c r="O43" s="3">
        <f>=B43*(N43*F43/10000)*J43</f>
      </c>
    </row>
    <row r="44" spans="1:15" x14ac:dyDescent="0.25">
      <c r="A44" s="2" t="s">
        <v>188</v>
      </c>
      <c r="B44" s="4">
        <v>0</v>
      </c>
      <c r="C44" s="4" t="s">
        <v>27</v>
      </c>
      <c r="D44" s="4"/>
      <c r="E44" s="4"/>
      <c r="F44" s="4">
        <v>29.5</v>
      </c>
      <c r="G44" s="4" t="s">
        <v>189</v>
      </c>
      <c r="H44" s="4"/>
      <c r="I44" s="4"/>
      <c r="J44" s="4">
        <v>6.08</v>
      </c>
      <c r="K44" s="4">
        <v>10</v>
      </c>
      <c r="L44" s="4"/>
      <c r="M44" s="4" t="s">
        <v>18</v>
      </c>
      <c r="N44" s="4">
        <v>41</v>
      </c>
      <c r="O44" s="3">
        <f>=B44*(N44*F44/10000)*J44</f>
      </c>
    </row>
    <row r="45" spans="1:15" x14ac:dyDescent="0.25">
      <c r="A45" s="2" t="s">
        <v>190</v>
      </c>
      <c r="B45" s="4">
        <v>0</v>
      </c>
      <c r="C45" s="4" t="s">
        <v>27</v>
      </c>
      <c r="D45" s="4"/>
      <c r="E45" s="4"/>
      <c r="F45" s="4">
        <v>49</v>
      </c>
      <c r="G45" s="4" t="s">
        <v>191</v>
      </c>
      <c r="H45" s="4"/>
      <c r="I45" s="4"/>
      <c r="J45" s="4">
        <v>6.08</v>
      </c>
      <c r="K45" s="4">
        <v>10</v>
      </c>
      <c r="L45" s="4"/>
      <c r="M45" s="4" t="s">
        <v>18</v>
      </c>
      <c r="N45" s="4">
        <v>156</v>
      </c>
      <c r="O45" s="3">
        <f>=B45*(N45*F45/10000)*J45</f>
      </c>
    </row>
    <row r="46" spans="1:15" x14ac:dyDescent="0.25">
      <c r="A46" s="2" t="s">
        <v>192</v>
      </c>
      <c r="B46" s="4">
        <v>0</v>
      </c>
      <c r="C46" s="4" t="s">
        <v>27</v>
      </c>
      <c r="D46" s="4"/>
      <c r="E46" s="4"/>
      <c r="F46" s="4">
        <v>12</v>
      </c>
      <c r="G46" s="4" t="s">
        <v>193</v>
      </c>
      <c r="H46" s="4"/>
      <c r="I46" s="4"/>
      <c r="J46" s="4">
        <v>6.08</v>
      </c>
      <c r="K46" s="4">
        <v>3</v>
      </c>
      <c r="L46" s="4"/>
      <c r="M46" s="4" t="s">
        <v>18</v>
      </c>
      <c r="N46" s="4">
        <v>47</v>
      </c>
      <c r="O46" s="3">
        <f>=B46*(N46*F46/10000)*J46</f>
      </c>
    </row>
    <row r="47" spans="1:15" x14ac:dyDescent="0.25">
      <c r="A47" s="2" t="s">
        <v>194</v>
      </c>
      <c r="B47" s="4">
        <v>3</v>
      </c>
      <c r="C47" s="4" t="s">
        <v>27</v>
      </c>
      <c r="D47" s="4"/>
      <c r="E47" s="4"/>
      <c r="F47" s="4">
        <v>45</v>
      </c>
      <c r="G47" s="4" t="s">
        <v>195</v>
      </c>
      <c r="H47" s="4"/>
      <c r="I47" s="4"/>
      <c r="J47" s="4">
        <v>6.08</v>
      </c>
      <c r="K47" s="4">
        <v>3</v>
      </c>
      <c r="L47" s="4"/>
      <c r="M47" s="4" t="s">
        <v>18</v>
      </c>
      <c r="N47" s="4">
        <v>99</v>
      </c>
      <c r="O47" s="3">
        <f>=B47*(N47*F47/10000)*J47</f>
      </c>
    </row>
    <row r="48" spans="1:15" x14ac:dyDescent="0.25">
      <c r="A48" s="2" t="s">
        <v>196</v>
      </c>
      <c r="B48" s="4">
        <v>1</v>
      </c>
      <c r="C48" s="4" t="s">
        <v>27</v>
      </c>
      <c r="D48" s="4"/>
      <c r="E48" s="4"/>
      <c r="F48" s="4">
        <v>30</v>
      </c>
      <c r="G48" s="4" t="s">
        <v>197</v>
      </c>
      <c r="H48" s="4"/>
      <c r="I48" s="4"/>
      <c r="J48" s="4">
        <v>6.08</v>
      </c>
      <c r="K48" s="4">
        <v>3</v>
      </c>
      <c r="L48" s="4"/>
      <c r="M48" s="4" t="s">
        <v>18</v>
      </c>
      <c r="N48" s="4">
        <v>99</v>
      </c>
      <c r="O48" s="3">
        <f>=B48*(N48*F48/10000)*J48</f>
      </c>
    </row>
    <row r="49" spans="1:15" x14ac:dyDescent="0.25">
      <c r="A49" s="2" t="s">
        <v>198</v>
      </c>
      <c r="B49" s="4">
        <v>2</v>
      </c>
      <c r="C49" s="4" t="s">
        <v>27</v>
      </c>
      <c r="D49" s="4"/>
      <c r="E49" s="4"/>
      <c r="F49" s="4">
        <v>41</v>
      </c>
      <c r="G49" s="4" t="s">
        <v>199</v>
      </c>
      <c r="H49" s="4"/>
      <c r="I49" s="4"/>
      <c r="J49" s="4">
        <v>6.08</v>
      </c>
      <c r="K49" s="4">
        <v>8</v>
      </c>
      <c r="L49" s="4"/>
      <c r="M49" s="4" t="s">
        <v>18</v>
      </c>
      <c r="N49" s="4">
        <v>205</v>
      </c>
      <c r="O49" s="3">
        <f>=B49*(N49*F49/10000)*J49</f>
      </c>
    </row>
    <row r="50" spans="1:15" x14ac:dyDescent="0.25">
      <c r="A50" s="2" t="s">
        <v>200</v>
      </c>
      <c r="B50" s="4">
        <v>1</v>
      </c>
      <c r="C50" s="4" t="s">
        <v>27</v>
      </c>
      <c r="D50" s="4"/>
      <c r="E50" s="4"/>
      <c r="F50" s="4">
        <v>22.5</v>
      </c>
      <c r="G50" s="4" t="s">
        <v>201</v>
      </c>
      <c r="H50" s="4"/>
      <c r="I50" s="4"/>
      <c r="J50" s="4">
        <v>6.08</v>
      </c>
      <c r="K50" s="4">
        <v>5</v>
      </c>
      <c r="L50" s="4"/>
      <c r="M50" s="4" t="s">
        <v>18</v>
      </c>
      <c r="N50" s="4">
        <v>108</v>
      </c>
      <c r="O50" s="3">
        <f>=B50*(N50*F50/10000)*J50</f>
      </c>
    </row>
    <row r="51" spans="1:15" x14ac:dyDescent="0.25">
      <c r="A51" s="2" t="s">
        <v>202</v>
      </c>
      <c r="B51" s="4">
        <v>8</v>
      </c>
      <c r="C51" s="4" t="s">
        <v>27</v>
      </c>
      <c r="D51" s="4"/>
      <c r="E51" s="4"/>
      <c r="F51" s="4">
        <v>72</v>
      </c>
      <c r="G51" s="4" t="s">
        <v>203</v>
      </c>
      <c r="H51" s="4"/>
      <c r="I51" s="4"/>
      <c r="J51" s="4">
        <v>6.08</v>
      </c>
      <c r="K51" s="4">
        <v>8</v>
      </c>
      <c r="L51" s="4"/>
      <c r="M51" s="4" t="s">
        <v>18</v>
      </c>
      <c r="N51" s="4">
        <v>72</v>
      </c>
      <c r="O51" s="3">
        <f>=B51*(N51*F51/10000)*J51</f>
      </c>
    </row>
    <row r="52" spans="1:15" x14ac:dyDescent="0.25">
      <c r="A52" s="2" t="s">
        <v>204</v>
      </c>
      <c r="B52" s="4">
        <v>2</v>
      </c>
      <c r="C52" s="4" t="s">
        <v>27</v>
      </c>
      <c r="D52" s="4"/>
      <c r="E52" s="4"/>
      <c r="F52" s="4">
        <v>72</v>
      </c>
      <c r="G52" s="4" t="s">
        <v>205</v>
      </c>
      <c r="H52" s="4"/>
      <c r="I52" s="4"/>
      <c r="J52" s="4">
        <v>6.08</v>
      </c>
      <c r="K52" s="4">
        <v>5</v>
      </c>
      <c r="L52" s="4"/>
      <c r="M52" s="4" t="s">
        <v>18</v>
      </c>
      <c r="N52" s="4">
        <v>72</v>
      </c>
      <c r="O52" s="3">
        <f>=B52*(N52*F52/10000)*J52</f>
      </c>
    </row>
    <row r="53" spans="1:15" x14ac:dyDescent="0.25">
      <c r="A53" s="2" t="s">
        <v>206</v>
      </c>
      <c r="B53" s="4">
        <v>1</v>
      </c>
      <c r="C53" s="4" t="s">
        <v>27</v>
      </c>
      <c r="D53" s="4"/>
      <c r="E53" s="4"/>
      <c r="F53" s="4">
        <v>203</v>
      </c>
      <c r="G53" s="4" t="s">
        <v>207</v>
      </c>
      <c r="H53" s="4"/>
      <c r="I53" s="4"/>
      <c r="J53" s="4">
        <v>6.08</v>
      </c>
      <c r="K53" s="4">
        <v>3</v>
      </c>
      <c r="L53" s="4"/>
      <c r="M53" s="4" t="s">
        <v>18</v>
      </c>
      <c r="N53" s="4">
        <v>205</v>
      </c>
      <c r="O53" s="3">
        <f>=B53*(N53*F53/10000)*J53</f>
      </c>
    </row>
    <row r="54" spans="1:15" x14ac:dyDescent="0.25">
      <c r="A54" s="2" t="s">
        <v>208</v>
      </c>
      <c r="B54" s="4">
        <v>1</v>
      </c>
      <c r="C54" s="4" t="s">
        <v>27</v>
      </c>
      <c r="D54" s="4"/>
      <c r="E54" s="4"/>
      <c r="F54" s="4">
        <v>41</v>
      </c>
      <c r="G54" s="4" t="s">
        <v>209</v>
      </c>
      <c r="H54" s="4"/>
      <c r="I54" s="4"/>
      <c r="J54" s="4">
        <v>6.08</v>
      </c>
      <c r="K54" s="4">
        <v>3</v>
      </c>
      <c r="L54" s="4"/>
      <c r="M54" s="4" t="s">
        <v>18</v>
      </c>
      <c r="N54" s="4">
        <v>65</v>
      </c>
      <c r="O54" s="3">
        <f>=B54*(N54*F54/10000)*J54</f>
      </c>
    </row>
    <row r="55" spans="1:15" x14ac:dyDescent="0.25">
      <c r="A55" s="2" t="s">
        <v>210</v>
      </c>
      <c r="B55" s="4">
        <v>1</v>
      </c>
      <c r="C55" s="4" t="s">
        <v>27</v>
      </c>
      <c r="D55" s="4"/>
      <c r="E55" s="4"/>
      <c r="F55" s="4">
        <v>84</v>
      </c>
      <c r="G55" s="4" t="s">
        <v>211</v>
      </c>
      <c r="H55" s="4"/>
      <c r="I55" s="4"/>
      <c r="J55" s="4">
        <v>6.08</v>
      </c>
      <c r="K55" s="4">
        <v>3</v>
      </c>
      <c r="L55" s="4"/>
      <c r="M55" s="4" t="s">
        <v>18</v>
      </c>
      <c r="N55" s="4">
        <v>86</v>
      </c>
      <c r="O55" s="3">
        <f>=B55*(N55*F55/10000)*J55</f>
      </c>
    </row>
    <row r="56" spans="1:15" x14ac:dyDescent="0.25">
      <c r="A56" s="2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5" t="s">
        <v>25</v>
      </c>
      <c r="O56" s="6">
        <f>=SUM(O2:O55)</f>
      </c>
    </row>
  </sheetData>
  <sheetProtection sheet="1" algorithmName="SHA-512" hashValue="QNufHYcGj3HKee2d7hVEYZ8VYC0/mTkNIRXr6sup7jkmFZP9Cm0pWYIRVvGwwoCnpnGH9wG/d2lmXU1rPEjV1w==" saltValue="vHjYbua2qQlq/4YF1/iFo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212</v>
      </c>
      <c r="B2" s="4">
        <v>1</v>
      </c>
      <c r="C2" s="4" t="s">
        <v>27</v>
      </c>
      <c r="D2" s="4"/>
      <c r="E2" s="4"/>
      <c r="F2" s="4">
        <v>19.5</v>
      </c>
      <c r="G2" s="4" t="s">
        <v>213</v>
      </c>
      <c r="H2" s="4"/>
      <c r="I2" s="4"/>
      <c r="J2" s="4">
        <v>6.08</v>
      </c>
      <c r="K2" s="4">
        <v>3</v>
      </c>
      <c r="L2" s="4"/>
      <c r="M2" s="4" t="s">
        <v>18</v>
      </c>
      <c r="N2" s="4">
        <v>100.5</v>
      </c>
      <c r="O2" s="3">
        <f>=B2*(N2*F2/10000)*J2</f>
      </c>
    </row>
    <row r="3" spans="1:15" x14ac:dyDescent="0.25">
      <c r="A3" s="2" t="s">
        <v>214</v>
      </c>
      <c r="B3" s="4">
        <v>1</v>
      </c>
      <c r="C3" s="4" t="s">
        <v>27</v>
      </c>
      <c r="D3" s="4"/>
      <c r="E3" s="4"/>
      <c r="F3" s="4">
        <v>10</v>
      </c>
      <c r="G3" s="4" t="s">
        <v>215</v>
      </c>
      <c r="H3" s="4"/>
      <c r="I3" s="4"/>
      <c r="J3" s="4">
        <v>6.08</v>
      </c>
      <c r="K3" s="4">
        <v>3</v>
      </c>
      <c r="L3" s="4"/>
      <c r="M3" s="4" t="s">
        <v>18</v>
      </c>
      <c r="N3" s="4">
        <v>103</v>
      </c>
      <c r="O3" s="3">
        <f>=B3*(N3*F3/10000)*J3</f>
      </c>
    </row>
    <row r="4" spans="1:15" x14ac:dyDescent="0.25">
      <c r="A4" s="2" t="s">
        <v>216</v>
      </c>
      <c r="B4" s="4">
        <v>1</v>
      </c>
      <c r="C4" s="4" t="s">
        <v>27</v>
      </c>
      <c r="D4" s="4"/>
      <c r="E4" s="4"/>
      <c r="F4" s="4">
        <v>27</v>
      </c>
      <c r="G4" s="4" t="s">
        <v>217</v>
      </c>
      <c r="H4" s="4"/>
      <c r="I4" s="4"/>
      <c r="J4" s="4">
        <v>6.08</v>
      </c>
      <c r="K4" s="4"/>
      <c r="L4" s="4"/>
      <c r="M4" s="4" t="s">
        <v>18</v>
      </c>
      <c r="N4" s="4">
        <v>103</v>
      </c>
      <c r="O4" s="3">
        <f>=B4*(N4*F4/10000)*J4</f>
      </c>
    </row>
    <row r="5" spans="1:15" x14ac:dyDescent="0.25">
      <c r="A5" s="2" t="s">
        <v>218</v>
      </c>
      <c r="B5" s="4">
        <v>1</v>
      </c>
      <c r="C5" s="4" t="s">
        <v>27</v>
      </c>
      <c r="D5" s="4"/>
      <c r="E5" s="4"/>
      <c r="F5" s="4">
        <v>67</v>
      </c>
      <c r="G5" s="4" t="s">
        <v>219</v>
      </c>
      <c r="H5" s="4"/>
      <c r="I5" s="4"/>
      <c r="J5" s="4">
        <v>6.08</v>
      </c>
      <c r="K5" s="4"/>
      <c r="L5" s="4"/>
      <c r="M5" s="4" t="s">
        <v>18</v>
      </c>
      <c r="N5" s="4">
        <v>115</v>
      </c>
      <c r="O5" s="3">
        <f>=B5*(N5*F5/10000)*J5</f>
      </c>
    </row>
    <row r="6" spans="1:15" x14ac:dyDescent="0.25">
      <c r="A6" s="2" t="s">
        <v>220</v>
      </c>
      <c r="B6" s="4">
        <v>1</v>
      </c>
      <c r="C6" s="4" t="s">
        <v>27</v>
      </c>
      <c r="D6" s="4"/>
      <c r="E6" s="4"/>
      <c r="F6" s="4">
        <v>78</v>
      </c>
      <c r="G6" s="4" t="s">
        <v>221</v>
      </c>
      <c r="H6" s="4"/>
      <c r="I6" s="4"/>
      <c r="J6" s="4">
        <v>6.08</v>
      </c>
      <c r="K6" s="4"/>
      <c r="L6" s="4"/>
      <c r="M6" s="4" t="s">
        <v>18</v>
      </c>
      <c r="N6" s="4">
        <v>13</v>
      </c>
      <c r="O6" s="3">
        <f>=B6*(N6*F6/10000)*J6</f>
      </c>
    </row>
    <row r="7" spans="1:15" x14ac:dyDescent="0.25">
      <c r="A7" s="2" t="s">
        <v>222</v>
      </c>
      <c r="B7" s="4">
        <v>1</v>
      </c>
      <c r="C7" s="4" t="s">
        <v>27</v>
      </c>
      <c r="D7" s="4"/>
      <c r="E7" s="4"/>
      <c r="F7" s="4">
        <v>90</v>
      </c>
      <c r="G7" s="4" t="s">
        <v>223</v>
      </c>
      <c r="H7" s="4"/>
      <c r="I7" s="4"/>
      <c r="J7" s="4">
        <v>6.08</v>
      </c>
      <c r="K7" s="4"/>
      <c r="L7" s="4"/>
      <c r="M7" s="4" t="s">
        <v>18</v>
      </c>
      <c r="N7" s="4">
        <v>13</v>
      </c>
      <c r="O7" s="3">
        <f>=B7*(N7*F7/10000)*J7</f>
      </c>
    </row>
    <row r="8" spans="1:15" x14ac:dyDescent="0.25">
      <c r="A8" s="2" t="s">
        <v>224</v>
      </c>
      <c r="B8" s="4">
        <v>1</v>
      </c>
      <c r="C8" s="4" t="s">
        <v>27</v>
      </c>
      <c r="D8" s="4"/>
      <c r="E8" s="4"/>
      <c r="F8" s="4">
        <v>19</v>
      </c>
      <c r="G8" s="4" t="s">
        <v>225</v>
      </c>
      <c r="H8" s="4"/>
      <c r="I8" s="4"/>
      <c r="J8" s="4">
        <v>6.08</v>
      </c>
      <c r="K8" s="4"/>
      <c r="L8" s="4"/>
      <c r="M8" s="4" t="s">
        <v>18</v>
      </c>
      <c r="N8" s="4">
        <v>140</v>
      </c>
      <c r="O8" s="3">
        <f>=B8*(N8*F8/10000)*J8</f>
      </c>
    </row>
    <row r="9" spans="1:15" x14ac:dyDescent="0.25">
      <c r="A9" s="2" t="s">
        <v>226</v>
      </c>
      <c r="B9" s="4">
        <v>1</v>
      </c>
      <c r="C9" s="4" t="s">
        <v>27</v>
      </c>
      <c r="D9" s="4"/>
      <c r="E9" s="4"/>
      <c r="F9" s="4">
        <v>15</v>
      </c>
      <c r="G9" s="4" t="s">
        <v>227</v>
      </c>
      <c r="H9" s="4"/>
      <c r="I9" s="4"/>
      <c r="J9" s="4">
        <v>6.08</v>
      </c>
      <c r="K9" s="4"/>
      <c r="L9" s="4"/>
      <c r="M9" s="4" t="s">
        <v>18</v>
      </c>
      <c r="N9" s="4">
        <v>150</v>
      </c>
      <c r="O9" s="3">
        <f>=B9*(N9*F9/10000)*J9</f>
      </c>
    </row>
    <row r="10" spans="1:15" x14ac:dyDescent="0.25">
      <c r="A10" s="2" t="s">
        <v>228</v>
      </c>
      <c r="B10" s="4">
        <v>1</v>
      </c>
      <c r="C10" s="4" t="s">
        <v>27</v>
      </c>
      <c r="D10" s="4"/>
      <c r="E10" s="4"/>
      <c r="F10" s="4">
        <v>63</v>
      </c>
      <c r="G10" s="4" t="s">
        <v>229</v>
      </c>
      <c r="H10" s="4"/>
      <c r="I10" s="4"/>
      <c r="J10" s="4">
        <v>6.08</v>
      </c>
      <c r="K10" s="4"/>
      <c r="L10" s="4"/>
      <c r="M10" s="4" t="s">
        <v>18</v>
      </c>
      <c r="N10" s="4">
        <v>16</v>
      </c>
      <c r="O10" s="3">
        <f>=B10*(N10*F10/10000)*J10</f>
      </c>
    </row>
    <row r="11" spans="1:15" x14ac:dyDescent="0.25">
      <c r="A11" s="2" t="s">
        <v>230</v>
      </c>
      <c r="B11" s="4">
        <v>73</v>
      </c>
      <c r="C11" s="4" t="s">
        <v>27</v>
      </c>
      <c r="D11" s="4"/>
      <c r="E11" s="4"/>
      <c r="F11" s="4">
        <v>10</v>
      </c>
      <c r="G11" s="4" t="s">
        <v>231</v>
      </c>
      <c r="H11" s="4"/>
      <c r="I11" s="4"/>
      <c r="J11" s="4">
        <v>6.08</v>
      </c>
      <c r="K11" s="4"/>
      <c r="L11" s="4"/>
      <c r="M11" s="4" t="s">
        <v>18</v>
      </c>
      <c r="N11" s="4">
        <v>20</v>
      </c>
      <c r="O11" s="3">
        <f>=B11*(N11*F11/10000)*J11</f>
      </c>
    </row>
    <row r="12" spans="1:15" x14ac:dyDescent="0.25">
      <c r="A12" s="2" t="s">
        <v>232</v>
      </c>
      <c r="B12" s="4">
        <v>42</v>
      </c>
      <c r="C12" s="4" t="s">
        <v>27</v>
      </c>
      <c r="D12" s="4"/>
      <c r="E12" s="4"/>
      <c r="F12" s="4">
        <v>15</v>
      </c>
      <c r="G12" s="4" t="s">
        <v>233</v>
      </c>
      <c r="H12" s="4"/>
      <c r="I12" s="4"/>
      <c r="J12" s="4">
        <v>6.08</v>
      </c>
      <c r="K12" s="4"/>
      <c r="L12" s="4"/>
      <c r="M12" s="4" t="s">
        <v>18</v>
      </c>
      <c r="N12" s="4">
        <v>21</v>
      </c>
      <c r="O12" s="3">
        <f>=B12*(N12*F12/10000)*J12</f>
      </c>
    </row>
    <row r="13" spans="1:15" x14ac:dyDescent="0.25">
      <c r="A13" s="2" t="s">
        <v>234</v>
      </c>
      <c r="B13" s="4">
        <v>1</v>
      </c>
      <c r="C13" s="4" t="s">
        <v>27</v>
      </c>
      <c r="D13" s="4"/>
      <c r="E13" s="4"/>
      <c r="F13" s="4">
        <v>31</v>
      </c>
      <c r="G13" s="4" t="s">
        <v>235</v>
      </c>
      <c r="H13" s="4"/>
      <c r="I13" s="4"/>
      <c r="J13" s="4">
        <v>6.08</v>
      </c>
      <c r="K13" s="4"/>
      <c r="L13" s="4"/>
      <c r="M13" s="4" t="s">
        <v>18</v>
      </c>
      <c r="N13" s="4">
        <v>22</v>
      </c>
      <c r="O13" s="3">
        <f>=B13*(N13*F13/10000)*J13</f>
      </c>
    </row>
    <row r="14" spans="1:15" x14ac:dyDescent="0.25">
      <c r="A14" s="2" t="s">
        <v>236</v>
      </c>
      <c r="B14" s="4">
        <v>1</v>
      </c>
      <c r="C14" s="4" t="s">
        <v>27</v>
      </c>
      <c r="D14" s="4"/>
      <c r="E14" s="4"/>
      <c r="F14" s="4">
        <v>50</v>
      </c>
      <c r="G14" s="4" t="s">
        <v>237</v>
      </c>
      <c r="H14" s="4"/>
      <c r="I14" s="4"/>
      <c r="J14" s="4">
        <v>6.08</v>
      </c>
      <c r="K14" s="4"/>
      <c r="L14" s="4"/>
      <c r="M14" s="4" t="s">
        <v>18</v>
      </c>
      <c r="N14" s="4">
        <v>23.5</v>
      </c>
      <c r="O14" s="3">
        <f>=B14*(N14*F14/10000)*J14</f>
      </c>
    </row>
    <row r="15" spans="1:15" x14ac:dyDescent="0.25">
      <c r="A15" s="2" t="s">
        <v>238</v>
      </c>
      <c r="B15" s="4">
        <v>1</v>
      </c>
      <c r="C15" s="4" t="s">
        <v>27</v>
      </c>
      <c r="D15" s="4"/>
      <c r="E15" s="4"/>
      <c r="F15" s="4">
        <v>18</v>
      </c>
      <c r="G15" s="4" t="s">
        <v>239</v>
      </c>
      <c r="H15" s="4"/>
      <c r="I15" s="4"/>
      <c r="J15" s="4">
        <v>6.08</v>
      </c>
      <c r="K15" s="4"/>
      <c r="L15" s="4"/>
      <c r="M15" s="4" t="s">
        <v>18</v>
      </c>
      <c r="N15" s="4">
        <v>245</v>
      </c>
      <c r="O15" s="3">
        <f>=B15*(N15*F15/10000)*J15</f>
      </c>
    </row>
    <row r="16" spans="1:15" x14ac:dyDescent="0.25">
      <c r="A16" s="2" t="s">
        <v>240</v>
      </c>
      <c r="B16" s="4">
        <v>1</v>
      </c>
      <c r="C16" s="4" t="s">
        <v>27</v>
      </c>
      <c r="D16" s="4"/>
      <c r="E16" s="4"/>
      <c r="F16" s="4">
        <v>42</v>
      </c>
      <c r="G16" s="4" t="s">
        <v>241</v>
      </c>
      <c r="H16" s="4"/>
      <c r="I16" s="4"/>
      <c r="J16" s="4">
        <v>6.08</v>
      </c>
      <c r="K16" s="4"/>
      <c r="L16" s="4"/>
      <c r="M16" s="4" t="s">
        <v>18</v>
      </c>
      <c r="N16" s="4">
        <v>25</v>
      </c>
      <c r="O16" s="3">
        <f>=B16*(N16*F16/10000)*J16</f>
      </c>
    </row>
    <row r="17" spans="1:15" x14ac:dyDescent="0.25">
      <c r="A17" s="2" t="s">
        <v>242</v>
      </c>
      <c r="B17" s="4">
        <v>1</v>
      </c>
      <c r="C17" s="4" t="s">
        <v>27</v>
      </c>
      <c r="D17" s="4"/>
      <c r="E17" s="4"/>
      <c r="F17" s="4">
        <v>64</v>
      </c>
      <c r="G17" s="4" t="s">
        <v>243</v>
      </c>
      <c r="H17" s="4"/>
      <c r="I17" s="4"/>
      <c r="J17" s="4">
        <v>6.08</v>
      </c>
      <c r="K17" s="4"/>
      <c r="L17" s="4"/>
      <c r="M17" s="4" t="s">
        <v>18</v>
      </c>
      <c r="N17" s="4">
        <v>25</v>
      </c>
      <c r="O17" s="3">
        <f>=B17*(N17*F17/10000)*J17</f>
      </c>
    </row>
    <row r="18" spans="1:15" x14ac:dyDescent="0.25">
      <c r="A18" s="2" t="s">
        <v>244</v>
      </c>
      <c r="B18" s="4">
        <v>1</v>
      </c>
      <c r="C18" s="4" t="s">
        <v>27</v>
      </c>
      <c r="D18" s="4"/>
      <c r="E18" s="4"/>
      <c r="F18" s="4">
        <v>78</v>
      </c>
      <c r="G18" s="4" t="s">
        <v>245</v>
      </c>
      <c r="H18" s="4"/>
      <c r="I18" s="4"/>
      <c r="J18" s="4">
        <v>6.08</v>
      </c>
      <c r="K18" s="4"/>
      <c r="L18" s="4"/>
      <c r="M18" s="4" t="s">
        <v>18</v>
      </c>
      <c r="N18" s="4">
        <v>25</v>
      </c>
      <c r="O18" s="3">
        <f>=B18*(N18*F18/10000)*J18</f>
      </c>
    </row>
    <row r="19" spans="1:15" x14ac:dyDescent="0.25">
      <c r="A19" s="2" t="s">
        <v>246</v>
      </c>
      <c r="B19" s="4">
        <v>1</v>
      </c>
      <c r="C19" s="4" t="s">
        <v>27</v>
      </c>
      <c r="D19" s="4"/>
      <c r="E19" s="4"/>
      <c r="F19" s="4">
        <v>90</v>
      </c>
      <c r="G19" s="4" t="s">
        <v>247</v>
      </c>
      <c r="H19" s="4"/>
      <c r="I19" s="4"/>
      <c r="J19" s="4">
        <v>6.08</v>
      </c>
      <c r="K19" s="4"/>
      <c r="L19" s="4"/>
      <c r="M19" s="4" t="s">
        <v>18</v>
      </c>
      <c r="N19" s="4">
        <v>26</v>
      </c>
      <c r="O19" s="3">
        <f>=B19*(N19*F19/10000)*J19</f>
      </c>
    </row>
    <row r="20" spans="1:15" x14ac:dyDescent="0.25">
      <c r="A20" s="2" t="s">
        <v>248</v>
      </c>
      <c r="B20" s="4">
        <v>1</v>
      </c>
      <c r="C20" s="4" t="s">
        <v>27</v>
      </c>
      <c r="D20" s="4"/>
      <c r="E20" s="4"/>
      <c r="F20" s="4">
        <v>43</v>
      </c>
      <c r="G20" s="4" t="s">
        <v>249</v>
      </c>
      <c r="H20" s="4"/>
      <c r="I20" s="4"/>
      <c r="J20" s="4">
        <v>6.08</v>
      </c>
      <c r="K20" s="4"/>
      <c r="L20" s="4"/>
      <c r="M20" s="4" t="s">
        <v>18</v>
      </c>
      <c r="N20" s="4">
        <v>27</v>
      </c>
      <c r="O20" s="3">
        <f>=B20*(N20*F20/10000)*J20</f>
      </c>
    </row>
    <row r="21" spans="1:15" x14ac:dyDescent="0.25">
      <c r="A21" s="2" t="s">
        <v>250</v>
      </c>
      <c r="B21" s="4">
        <v>1</v>
      </c>
      <c r="C21" s="4" t="s">
        <v>27</v>
      </c>
      <c r="D21" s="4"/>
      <c r="E21" s="4"/>
      <c r="F21" s="4">
        <v>42</v>
      </c>
      <c r="G21" s="4" t="s">
        <v>251</v>
      </c>
      <c r="H21" s="4"/>
      <c r="I21" s="4"/>
      <c r="J21" s="4">
        <v>6.08</v>
      </c>
      <c r="K21" s="4"/>
      <c r="L21" s="4"/>
      <c r="M21" s="4" t="s">
        <v>18</v>
      </c>
      <c r="N21" s="4">
        <v>27</v>
      </c>
      <c r="O21" s="3">
        <f>=B21*(N21*F21/10000)*J21</f>
      </c>
    </row>
    <row r="22" spans="1:15" x14ac:dyDescent="0.25">
      <c r="A22" s="2" t="s">
        <v>252</v>
      </c>
      <c r="B22" s="4">
        <v>1</v>
      </c>
      <c r="C22" s="4" t="s">
        <v>27</v>
      </c>
      <c r="D22" s="4"/>
      <c r="E22" s="4"/>
      <c r="F22" s="4">
        <v>33</v>
      </c>
      <c r="G22" s="4" t="s">
        <v>253</v>
      </c>
      <c r="H22" s="4"/>
      <c r="I22" s="4"/>
      <c r="J22" s="4">
        <v>6.08</v>
      </c>
      <c r="K22" s="4"/>
      <c r="L22" s="4"/>
      <c r="M22" s="4" t="s">
        <v>18</v>
      </c>
      <c r="N22" s="4">
        <v>28</v>
      </c>
      <c r="O22" s="3">
        <f>=B22*(N22*F22/10000)*J22</f>
      </c>
    </row>
    <row r="23" spans="1:15" x14ac:dyDescent="0.25">
      <c r="A23" s="2" t="s">
        <v>254</v>
      </c>
      <c r="B23" s="4">
        <v>1</v>
      </c>
      <c r="C23" s="4" t="s">
        <v>27</v>
      </c>
      <c r="D23" s="4"/>
      <c r="E23" s="4"/>
      <c r="F23" s="4">
        <v>19</v>
      </c>
      <c r="G23" s="4" t="s">
        <v>255</v>
      </c>
      <c r="H23" s="4"/>
      <c r="I23" s="4"/>
      <c r="J23" s="4">
        <v>6.08</v>
      </c>
      <c r="K23" s="4"/>
      <c r="L23" s="4"/>
      <c r="M23" s="4" t="s">
        <v>18</v>
      </c>
      <c r="N23" s="4">
        <v>29.5</v>
      </c>
      <c r="O23" s="3">
        <f>=B23*(N23*F23/10000)*J23</f>
      </c>
    </row>
    <row r="24" spans="1:15" x14ac:dyDescent="0.25">
      <c r="A24" s="2" t="s">
        <v>256</v>
      </c>
      <c r="B24" s="4">
        <v>1</v>
      </c>
      <c r="C24" s="4" t="s">
        <v>27</v>
      </c>
      <c r="D24" s="4"/>
      <c r="E24" s="4"/>
      <c r="F24" s="4">
        <v>34</v>
      </c>
      <c r="G24" s="4" t="s">
        <v>257</v>
      </c>
      <c r="H24" s="4"/>
      <c r="I24" s="4"/>
      <c r="J24" s="4">
        <v>6.08</v>
      </c>
      <c r="K24" s="4"/>
      <c r="L24" s="4"/>
      <c r="M24" s="4" t="s">
        <v>18</v>
      </c>
      <c r="N24" s="4">
        <v>29</v>
      </c>
      <c r="O24" s="3">
        <f>=B24*(N24*F24/10000)*J24</f>
      </c>
    </row>
    <row r="25" spans="1:15" x14ac:dyDescent="0.25">
      <c r="A25" s="2" t="s">
        <v>258</v>
      </c>
      <c r="B25" s="4">
        <v>1</v>
      </c>
      <c r="C25" s="4" t="s">
        <v>27</v>
      </c>
      <c r="D25" s="4"/>
      <c r="E25" s="4"/>
      <c r="F25" s="4">
        <v>27.5</v>
      </c>
      <c r="G25" s="4" t="s">
        <v>259</v>
      </c>
      <c r="H25" s="4"/>
      <c r="I25" s="4"/>
      <c r="J25" s="4">
        <v>6.08</v>
      </c>
      <c r="K25" s="4"/>
      <c r="L25" s="4"/>
      <c r="M25" s="4" t="s">
        <v>18</v>
      </c>
      <c r="N25" s="4">
        <v>30</v>
      </c>
      <c r="O25" s="3">
        <f>=B25*(N25*F25/10000)*J25</f>
      </c>
    </row>
    <row r="26" spans="1:15" x14ac:dyDescent="0.25">
      <c r="A26" s="2" t="s">
        <v>260</v>
      </c>
      <c r="B26" s="4">
        <v>1</v>
      </c>
      <c r="C26" s="4" t="s">
        <v>27</v>
      </c>
      <c r="D26" s="4"/>
      <c r="E26" s="4"/>
      <c r="F26" s="4">
        <v>44</v>
      </c>
      <c r="G26" s="4" t="s">
        <v>261</v>
      </c>
      <c r="H26" s="4"/>
      <c r="I26" s="4"/>
      <c r="J26" s="4">
        <v>6.08</v>
      </c>
      <c r="K26" s="4"/>
      <c r="L26" s="4"/>
      <c r="M26" s="4" t="s">
        <v>18</v>
      </c>
      <c r="N26" s="4">
        <v>32</v>
      </c>
      <c r="O26" s="3">
        <f>=B26*(N26*F26/10000)*J26</f>
      </c>
    </row>
    <row r="27" spans="1:15" x14ac:dyDescent="0.25">
      <c r="A27" s="2" t="s">
        <v>262</v>
      </c>
      <c r="B27" s="4">
        <v>1</v>
      </c>
      <c r="C27" s="4" t="s">
        <v>27</v>
      </c>
      <c r="D27" s="4"/>
      <c r="E27" s="4"/>
      <c r="F27" s="4">
        <v>32</v>
      </c>
      <c r="G27" s="4" t="s">
        <v>263</v>
      </c>
      <c r="H27" s="4"/>
      <c r="I27" s="4"/>
      <c r="J27" s="4">
        <v>6.08</v>
      </c>
      <c r="K27" s="4"/>
      <c r="L27" s="4"/>
      <c r="M27" s="4" t="s">
        <v>18</v>
      </c>
      <c r="N27" s="4">
        <v>36</v>
      </c>
      <c r="O27" s="3">
        <f>=B27*(N27*F27/10000)*J27</f>
      </c>
    </row>
    <row r="28" spans="1:15" x14ac:dyDescent="0.25">
      <c r="A28" s="2" t="s">
        <v>264</v>
      </c>
      <c r="B28" s="4">
        <v>1</v>
      </c>
      <c r="C28" s="4" t="s">
        <v>27</v>
      </c>
      <c r="D28" s="4"/>
      <c r="E28" s="4"/>
      <c r="F28" s="4">
        <v>30</v>
      </c>
      <c r="G28" s="4" t="s">
        <v>265</v>
      </c>
      <c r="H28" s="4"/>
      <c r="I28" s="4"/>
      <c r="J28" s="4">
        <v>6.08</v>
      </c>
      <c r="K28" s="4"/>
      <c r="L28" s="4"/>
      <c r="M28" s="4" t="s">
        <v>18</v>
      </c>
      <c r="N28" s="4">
        <v>375</v>
      </c>
      <c r="O28" s="3">
        <f>=B28*(N28*F28/10000)*J28</f>
      </c>
    </row>
    <row r="29" spans="1:15" x14ac:dyDescent="0.25">
      <c r="A29" s="2" t="s">
        <v>266</v>
      </c>
      <c r="B29" s="4">
        <v>1</v>
      </c>
      <c r="C29" s="4" t="s">
        <v>27</v>
      </c>
      <c r="D29" s="4"/>
      <c r="E29" s="4"/>
      <c r="F29" s="4">
        <v>15.5</v>
      </c>
      <c r="G29" s="4" t="s">
        <v>267</v>
      </c>
      <c r="H29" s="4"/>
      <c r="I29" s="4"/>
      <c r="J29" s="4">
        <v>6.08</v>
      </c>
      <c r="K29" s="4"/>
      <c r="L29" s="4"/>
      <c r="M29" s="4" t="s">
        <v>18</v>
      </c>
      <c r="N29" s="4">
        <v>39</v>
      </c>
      <c r="O29" s="3">
        <f>=B29*(N29*F29/10000)*J29</f>
      </c>
    </row>
    <row r="30" spans="1:15" x14ac:dyDescent="0.25">
      <c r="A30" s="2" t="s">
        <v>268</v>
      </c>
      <c r="B30" s="4">
        <v>1</v>
      </c>
      <c r="C30" s="4" t="s">
        <v>27</v>
      </c>
      <c r="D30" s="4"/>
      <c r="E30" s="4"/>
      <c r="F30" s="4">
        <v>18</v>
      </c>
      <c r="G30" s="4" t="s">
        <v>269</v>
      </c>
      <c r="H30" s="4"/>
      <c r="I30" s="4"/>
      <c r="J30" s="4">
        <v>6.08</v>
      </c>
      <c r="K30" s="4"/>
      <c r="L30" s="4"/>
      <c r="M30" s="4" t="s">
        <v>18</v>
      </c>
      <c r="N30" s="4">
        <v>40</v>
      </c>
      <c r="O30" s="3">
        <f>=B30*(N30*F30/10000)*J30</f>
      </c>
    </row>
    <row r="31" spans="1:15" x14ac:dyDescent="0.25">
      <c r="A31" s="2" t="s">
        <v>270</v>
      </c>
      <c r="B31" s="4">
        <v>1</v>
      </c>
      <c r="C31" s="4" t="s">
        <v>27</v>
      </c>
      <c r="D31" s="4"/>
      <c r="E31" s="4"/>
      <c r="F31" s="4">
        <v>40</v>
      </c>
      <c r="G31" s="4" t="s">
        <v>271</v>
      </c>
      <c r="H31" s="4"/>
      <c r="I31" s="4"/>
      <c r="J31" s="4">
        <v>6.08</v>
      </c>
      <c r="K31" s="4"/>
      <c r="L31" s="4"/>
      <c r="M31" s="4" t="s">
        <v>18</v>
      </c>
      <c r="N31" s="4">
        <v>40</v>
      </c>
      <c r="O31" s="3">
        <f>=B31*(N31*F31/10000)*J31</f>
      </c>
    </row>
    <row r="32" spans="1:15" x14ac:dyDescent="0.25">
      <c r="A32" s="2" t="s">
        <v>272</v>
      </c>
      <c r="B32" s="4">
        <v>1</v>
      </c>
      <c r="C32" s="4" t="s">
        <v>27</v>
      </c>
      <c r="D32" s="4"/>
      <c r="E32" s="4"/>
      <c r="F32" s="4">
        <v>46</v>
      </c>
      <c r="G32" s="4" t="s">
        <v>273</v>
      </c>
      <c r="H32" s="4"/>
      <c r="I32" s="4"/>
      <c r="J32" s="4">
        <v>6.08</v>
      </c>
      <c r="K32" s="4"/>
      <c r="L32" s="4"/>
      <c r="M32" s="4" t="s">
        <v>18</v>
      </c>
      <c r="N32" s="4">
        <v>47</v>
      </c>
      <c r="O32" s="3">
        <f>=B32*(N32*F32/10000)*J32</f>
      </c>
    </row>
    <row r="33" spans="1:15" x14ac:dyDescent="0.25">
      <c r="A33" s="2" t="s">
        <v>274</v>
      </c>
      <c r="B33" s="4">
        <v>1</v>
      </c>
      <c r="C33" s="4" t="s">
        <v>27</v>
      </c>
      <c r="D33" s="4"/>
      <c r="E33" s="4"/>
      <c r="F33" s="4">
        <v>29</v>
      </c>
      <c r="G33" s="4" t="s">
        <v>275</v>
      </c>
      <c r="H33" s="4"/>
      <c r="I33" s="4"/>
      <c r="J33" s="4">
        <v>6.08</v>
      </c>
      <c r="K33" s="4"/>
      <c r="L33" s="4"/>
      <c r="M33" s="4" t="s">
        <v>18</v>
      </c>
      <c r="N33" s="4">
        <v>49</v>
      </c>
      <c r="O33" s="3">
        <f>=B33*(N33*F33/10000)*J33</f>
      </c>
    </row>
    <row r="34" spans="1:15" x14ac:dyDescent="0.25">
      <c r="A34" s="2" t="s">
        <v>276</v>
      </c>
      <c r="B34" s="4">
        <v>1</v>
      </c>
      <c r="C34" s="4" t="s">
        <v>27</v>
      </c>
      <c r="D34" s="4"/>
      <c r="E34" s="4"/>
      <c r="F34" s="4">
        <v>41</v>
      </c>
      <c r="G34" s="4" t="s">
        <v>277</v>
      </c>
      <c r="H34" s="4"/>
      <c r="I34" s="4"/>
      <c r="J34" s="4">
        <v>6.08</v>
      </c>
      <c r="K34" s="4"/>
      <c r="L34" s="4"/>
      <c r="M34" s="4" t="s">
        <v>18</v>
      </c>
      <c r="N34" s="4">
        <v>49</v>
      </c>
      <c r="O34" s="3">
        <f>=B34*(N34*F34/10000)*J34</f>
      </c>
    </row>
    <row r="35" spans="1:15" x14ac:dyDescent="0.25">
      <c r="A35" s="2" t="s">
        <v>278</v>
      </c>
      <c r="B35" s="4">
        <v>1</v>
      </c>
      <c r="C35" s="4" t="s">
        <v>27</v>
      </c>
      <c r="D35" s="4"/>
      <c r="E35" s="4"/>
      <c r="F35" s="4">
        <v>48</v>
      </c>
      <c r="G35" s="4" t="s">
        <v>279</v>
      </c>
      <c r="H35" s="4"/>
      <c r="I35" s="4"/>
      <c r="J35" s="4">
        <v>6.08</v>
      </c>
      <c r="K35" s="4"/>
      <c r="L35" s="4"/>
      <c r="M35" s="4" t="s">
        <v>18</v>
      </c>
      <c r="N35" s="4">
        <v>49</v>
      </c>
      <c r="O35" s="3">
        <f>=B35*(N35*F35/10000)*J35</f>
      </c>
    </row>
    <row r="36" spans="1:15" x14ac:dyDescent="0.25">
      <c r="A36" s="2" t="s">
        <v>280</v>
      </c>
      <c r="B36" s="4">
        <v>3</v>
      </c>
      <c r="C36" s="4" t="s">
        <v>27</v>
      </c>
      <c r="D36" s="4"/>
      <c r="E36" s="4"/>
      <c r="F36" s="4">
        <v>50</v>
      </c>
      <c r="G36" s="4" t="s">
        <v>281</v>
      </c>
      <c r="H36" s="4"/>
      <c r="I36" s="4"/>
      <c r="J36" s="4">
        <v>6.08</v>
      </c>
      <c r="K36" s="4"/>
      <c r="L36" s="4"/>
      <c r="M36" s="4" t="s">
        <v>18</v>
      </c>
      <c r="N36" s="4">
        <v>50</v>
      </c>
      <c r="O36" s="3">
        <f>=B36*(N36*F36/10000)*J36</f>
      </c>
    </row>
    <row r="37" spans="1:15" x14ac:dyDescent="0.25">
      <c r="A37" s="2" t="s">
        <v>282</v>
      </c>
      <c r="B37" s="4">
        <v>1</v>
      </c>
      <c r="C37" s="4" t="s">
        <v>27</v>
      </c>
      <c r="D37" s="4"/>
      <c r="E37" s="4"/>
      <c r="F37" s="4">
        <v>10</v>
      </c>
      <c r="G37" s="4" t="s">
        <v>283</v>
      </c>
      <c r="H37" s="4"/>
      <c r="I37" s="4"/>
      <c r="J37" s="4">
        <v>6.08</v>
      </c>
      <c r="K37" s="4"/>
      <c r="L37" s="4"/>
      <c r="M37" s="4" t="s">
        <v>18</v>
      </c>
      <c r="N37" s="4">
        <v>50</v>
      </c>
      <c r="O37" s="3">
        <f>=B37*(N37*F37/10000)*J37</f>
      </c>
    </row>
    <row r="38" spans="1:15" x14ac:dyDescent="0.25">
      <c r="A38" s="2" t="s">
        <v>284</v>
      </c>
      <c r="B38" s="4">
        <v>1</v>
      </c>
      <c r="C38" s="4" t="s">
        <v>27</v>
      </c>
      <c r="D38" s="4"/>
      <c r="E38" s="4"/>
      <c r="F38" s="4">
        <v>14</v>
      </c>
      <c r="G38" s="4" t="s">
        <v>285</v>
      </c>
      <c r="H38" s="4"/>
      <c r="I38" s="4"/>
      <c r="J38" s="4">
        <v>6.08</v>
      </c>
      <c r="K38" s="4"/>
      <c r="L38" s="4"/>
      <c r="M38" s="4" t="s">
        <v>18</v>
      </c>
      <c r="N38" s="4">
        <v>50</v>
      </c>
      <c r="O38" s="3">
        <f>=B38*(N38*F38/10000)*J38</f>
      </c>
    </row>
    <row r="39" spans="1:15" x14ac:dyDescent="0.25">
      <c r="A39" s="2" t="s">
        <v>286</v>
      </c>
      <c r="B39" s="4">
        <v>1</v>
      </c>
      <c r="C39" s="4" t="s">
        <v>27</v>
      </c>
      <c r="D39" s="4"/>
      <c r="E39" s="4"/>
      <c r="F39" s="4">
        <v>46</v>
      </c>
      <c r="G39" s="4" t="s">
        <v>287</v>
      </c>
      <c r="H39" s="4"/>
      <c r="I39" s="4"/>
      <c r="J39" s="4">
        <v>6.08</v>
      </c>
      <c r="K39" s="4"/>
      <c r="L39" s="4"/>
      <c r="M39" s="4" t="s">
        <v>18</v>
      </c>
      <c r="N39" s="4">
        <v>52</v>
      </c>
      <c r="O39" s="3">
        <f>=B39*(N39*F39/10000)*J39</f>
      </c>
    </row>
    <row r="40" spans="1:15" x14ac:dyDescent="0.25">
      <c r="A40" s="2" t="s">
        <v>288</v>
      </c>
      <c r="B40" s="4">
        <v>1</v>
      </c>
      <c r="C40" s="4" t="s">
        <v>27</v>
      </c>
      <c r="D40" s="4"/>
      <c r="E40" s="4"/>
      <c r="F40" s="4">
        <v>40</v>
      </c>
      <c r="G40" s="4" t="s">
        <v>289</v>
      </c>
      <c r="H40" s="4"/>
      <c r="I40" s="4"/>
      <c r="J40" s="4">
        <v>6.08</v>
      </c>
      <c r="K40" s="4"/>
      <c r="L40" s="4"/>
      <c r="M40" s="4" t="s">
        <v>18</v>
      </c>
      <c r="N40" s="4">
        <v>55</v>
      </c>
      <c r="O40" s="3">
        <f>=B40*(N40*F40/10000)*J40</f>
      </c>
    </row>
    <row r="41" spans="1:15" x14ac:dyDescent="0.25">
      <c r="A41" s="2" t="s">
        <v>290</v>
      </c>
      <c r="B41" s="4">
        <v>1</v>
      </c>
      <c r="C41" s="4" t="s">
        <v>27</v>
      </c>
      <c r="D41" s="4"/>
      <c r="E41" s="4"/>
      <c r="F41" s="4">
        <v>16</v>
      </c>
      <c r="G41" s="4" t="s">
        <v>291</v>
      </c>
      <c r="H41" s="4"/>
      <c r="I41" s="4"/>
      <c r="J41" s="4">
        <v>6.08</v>
      </c>
      <c r="K41" s="4"/>
      <c r="L41" s="4"/>
      <c r="M41" s="4" t="s">
        <v>18</v>
      </c>
      <c r="N41" s="4">
        <v>62</v>
      </c>
      <c r="O41" s="3">
        <f>=B41*(N41*F41/10000)*J41</f>
      </c>
    </row>
    <row r="42" spans="1:15" x14ac:dyDescent="0.25">
      <c r="A42" s="2" t="s">
        <v>292</v>
      </c>
      <c r="B42" s="4">
        <v>1</v>
      </c>
      <c r="C42" s="4" t="s">
        <v>27</v>
      </c>
      <c r="D42" s="4"/>
      <c r="E42" s="4"/>
      <c r="F42" s="4">
        <v>30</v>
      </c>
      <c r="G42" s="4" t="s">
        <v>293</v>
      </c>
      <c r="H42" s="4"/>
      <c r="I42" s="4"/>
      <c r="J42" s="4">
        <v>6.08</v>
      </c>
      <c r="K42" s="4"/>
      <c r="L42" s="4"/>
      <c r="M42" s="4" t="s">
        <v>18</v>
      </c>
      <c r="N42" s="4">
        <v>62</v>
      </c>
      <c r="O42" s="3">
        <f>=B42*(N42*F42/10000)*J42</f>
      </c>
    </row>
    <row r="43" spans="1:15" x14ac:dyDescent="0.25">
      <c r="A43" s="2" t="s">
        <v>294</v>
      </c>
      <c r="B43" s="4">
        <v>1</v>
      </c>
      <c r="C43" s="4" t="s">
        <v>27</v>
      </c>
      <c r="D43" s="4"/>
      <c r="E43" s="4"/>
      <c r="F43" s="4">
        <v>19</v>
      </c>
      <c r="G43" s="4" t="s">
        <v>295</v>
      </c>
      <c r="H43" s="4"/>
      <c r="I43" s="4"/>
      <c r="J43" s="4">
        <v>6.08</v>
      </c>
      <c r="K43" s="4"/>
      <c r="L43" s="4"/>
      <c r="M43" s="4" t="s">
        <v>18</v>
      </c>
      <c r="N43" s="4">
        <v>66</v>
      </c>
      <c r="O43" s="3">
        <f>=B43*(N43*F43/10000)*J43</f>
      </c>
    </row>
    <row r="44" spans="1:15" x14ac:dyDescent="0.25">
      <c r="A44" s="2" t="s">
        <v>296</v>
      </c>
      <c r="B44" s="4">
        <v>3</v>
      </c>
      <c r="C44" s="4" t="s">
        <v>27</v>
      </c>
      <c r="D44" s="4"/>
      <c r="E44" s="4"/>
      <c r="F44" s="4">
        <v>20</v>
      </c>
      <c r="G44" s="4" t="s">
        <v>297</v>
      </c>
      <c r="H44" s="4"/>
      <c r="I44" s="4"/>
      <c r="J44" s="4">
        <v>6.08</v>
      </c>
      <c r="K44" s="4"/>
      <c r="L44" s="4"/>
      <c r="M44" s="4" t="s">
        <v>18</v>
      </c>
      <c r="N44" s="4">
        <v>70</v>
      </c>
      <c r="O44" s="3">
        <f>=B44*(N44*F44/10000)*J44</f>
      </c>
    </row>
    <row r="45" spans="1:15" x14ac:dyDescent="0.25">
      <c r="A45" s="2" t="s">
        <v>298</v>
      </c>
      <c r="B45" s="4">
        <v>1</v>
      </c>
      <c r="C45" s="4" t="s">
        <v>27</v>
      </c>
      <c r="D45" s="4"/>
      <c r="E45" s="4"/>
      <c r="F45" s="4">
        <v>22</v>
      </c>
      <c r="G45" s="4" t="s">
        <v>299</v>
      </c>
      <c r="H45" s="4"/>
      <c r="I45" s="4"/>
      <c r="J45" s="4">
        <v>6.08</v>
      </c>
      <c r="K45" s="4"/>
      <c r="L45" s="4"/>
      <c r="M45" s="4" t="s">
        <v>18</v>
      </c>
      <c r="N45" s="4">
        <v>71</v>
      </c>
      <c r="O45" s="3">
        <f>=B45*(N45*F45/10000)*J45</f>
      </c>
    </row>
    <row r="46" spans="1:15" x14ac:dyDescent="0.25">
      <c r="A46" s="2" t="s">
        <v>300</v>
      </c>
      <c r="B46" s="4">
        <v>1</v>
      </c>
      <c r="C46" s="4" t="s">
        <v>27</v>
      </c>
      <c r="D46" s="4"/>
      <c r="E46" s="4"/>
      <c r="F46" s="4">
        <v>16</v>
      </c>
      <c r="G46" s="4" t="s">
        <v>301</v>
      </c>
      <c r="H46" s="4"/>
      <c r="I46" s="4"/>
      <c r="J46" s="4">
        <v>6.08</v>
      </c>
      <c r="K46" s="4"/>
      <c r="L46" s="4"/>
      <c r="M46" s="4" t="s">
        <v>18</v>
      </c>
      <c r="N46" s="4">
        <v>74</v>
      </c>
      <c r="O46" s="3">
        <f>=B46*(N46*F46/10000)*J46</f>
      </c>
    </row>
    <row r="47" spans="1:15" x14ac:dyDescent="0.25">
      <c r="A47" s="2" t="s">
        <v>302</v>
      </c>
      <c r="B47" s="4">
        <v>1</v>
      </c>
      <c r="C47" s="4" t="s">
        <v>27</v>
      </c>
      <c r="D47" s="4"/>
      <c r="E47" s="4"/>
      <c r="F47" s="4">
        <v>28.5</v>
      </c>
      <c r="G47" s="4" t="s">
        <v>303</v>
      </c>
      <c r="H47" s="4"/>
      <c r="I47" s="4"/>
      <c r="J47" s="4">
        <v>6.08</v>
      </c>
      <c r="K47" s="4"/>
      <c r="L47" s="4"/>
      <c r="M47" s="4" t="s">
        <v>18</v>
      </c>
      <c r="N47" s="4">
        <v>75</v>
      </c>
      <c r="O47" s="3">
        <f>=B47*(N47*F47/10000)*J47</f>
      </c>
    </row>
    <row r="48" spans="1:15" x14ac:dyDescent="0.25">
      <c r="A48" s="2" t="s">
        <v>304</v>
      </c>
      <c r="B48" s="4">
        <v>1</v>
      </c>
      <c r="C48" s="4" t="s">
        <v>27</v>
      </c>
      <c r="D48" s="4"/>
      <c r="E48" s="4"/>
      <c r="F48" s="4">
        <v>20</v>
      </c>
      <c r="G48" s="4" t="s">
        <v>305</v>
      </c>
      <c r="H48" s="4"/>
      <c r="I48" s="4"/>
      <c r="J48" s="4">
        <v>6.08</v>
      </c>
      <c r="K48" s="4"/>
      <c r="L48" s="4"/>
      <c r="M48" s="4" t="s">
        <v>18</v>
      </c>
      <c r="N48" s="4">
        <v>82</v>
      </c>
      <c r="O48" s="3">
        <f>=B48*(N48*F48/10000)*J48</f>
      </c>
    </row>
    <row r="49" spans="1:15" x14ac:dyDescent="0.25">
      <c r="A49" s="2" t="s">
        <v>306</v>
      </c>
      <c r="B49" s="4">
        <v>1</v>
      </c>
      <c r="C49" s="4" t="s">
        <v>27</v>
      </c>
      <c r="D49" s="4"/>
      <c r="E49" s="4"/>
      <c r="F49" s="4">
        <v>28.5</v>
      </c>
      <c r="G49" s="4" t="s">
        <v>307</v>
      </c>
      <c r="H49" s="4"/>
      <c r="I49" s="4"/>
      <c r="J49" s="4">
        <v>6.08</v>
      </c>
      <c r="K49" s="4"/>
      <c r="L49" s="4"/>
      <c r="M49" s="4" t="s">
        <v>18</v>
      </c>
      <c r="N49" s="4">
        <v>85</v>
      </c>
      <c r="O49" s="3">
        <f>=B49*(N49*F49/10000)*J49</f>
      </c>
    </row>
    <row r="50" spans="1:15" x14ac:dyDescent="0.25">
      <c r="A50" s="2" t="s">
        <v>308</v>
      </c>
      <c r="B50" s="4">
        <v>1</v>
      </c>
      <c r="C50" s="4" t="s">
        <v>27</v>
      </c>
      <c r="D50" s="4"/>
      <c r="E50" s="4"/>
      <c r="F50" s="4">
        <v>37</v>
      </c>
      <c r="G50" s="4" t="s">
        <v>309</v>
      </c>
      <c r="H50" s="4"/>
      <c r="I50" s="4"/>
      <c r="J50" s="4">
        <v>6.08</v>
      </c>
      <c r="K50" s="4"/>
      <c r="L50" s="4"/>
      <c r="M50" s="4" t="s">
        <v>18</v>
      </c>
      <c r="N50" s="4">
        <v>88</v>
      </c>
      <c r="O50" s="3">
        <f>=B50*(N50*F50/10000)*J50</f>
      </c>
    </row>
    <row r="51" spans="1:15" x14ac:dyDescent="0.25">
      <c r="A51" s="2" t="s">
        <v>310</v>
      </c>
      <c r="B51" s="4">
        <v>1</v>
      </c>
      <c r="C51" s="4" t="s">
        <v>27</v>
      </c>
      <c r="D51" s="4"/>
      <c r="E51" s="4"/>
      <c r="F51" s="4">
        <v>23</v>
      </c>
      <c r="G51" s="4" t="s">
        <v>311</v>
      </c>
      <c r="H51" s="4"/>
      <c r="I51" s="4"/>
      <c r="J51" s="4">
        <v>6.08</v>
      </c>
      <c r="K51" s="4"/>
      <c r="L51" s="4"/>
      <c r="M51" s="4" t="s">
        <v>18</v>
      </c>
      <c r="N51" s="4">
        <v>94</v>
      </c>
      <c r="O51" s="3">
        <f>=B51*(N51*F51/10000)*J51</f>
      </c>
    </row>
    <row r="52" spans="1:15" x14ac:dyDescent="0.25">
      <c r="A52" s="2" t="s">
        <v>312</v>
      </c>
      <c r="B52" s="4">
        <v>50</v>
      </c>
      <c r="C52" s="4" t="s">
        <v>27</v>
      </c>
      <c r="D52" s="4"/>
      <c r="E52" s="4"/>
      <c r="F52" s="4">
        <v>29.7</v>
      </c>
      <c r="G52" s="4" t="s">
        <v>313</v>
      </c>
      <c r="H52" s="4"/>
      <c r="I52" s="4"/>
      <c r="J52" s="4">
        <v>6.08</v>
      </c>
      <c r="K52" s="4"/>
      <c r="L52" s="4"/>
      <c r="M52" s="4" t="s">
        <v>18</v>
      </c>
      <c r="N52" s="4">
        <v>21</v>
      </c>
      <c r="O52" s="3">
        <f>=B52*(N52*F52/10000)*J52</f>
      </c>
    </row>
    <row r="53" spans="1:15" x14ac:dyDescent="0.25">
      <c r="A53" s="2" t="s">
        <v>314</v>
      </c>
      <c r="B53" s="4">
        <v>34</v>
      </c>
      <c r="C53" s="4" t="s">
        <v>27</v>
      </c>
      <c r="D53" s="4"/>
      <c r="E53" s="4"/>
      <c r="F53" s="4">
        <v>21</v>
      </c>
      <c r="G53" s="4" t="s">
        <v>315</v>
      </c>
      <c r="H53" s="4"/>
      <c r="I53" s="4"/>
      <c r="J53" s="4">
        <v>6.08</v>
      </c>
      <c r="K53" s="4"/>
      <c r="L53" s="4"/>
      <c r="M53" s="4" t="s">
        <v>18</v>
      </c>
      <c r="N53" s="4">
        <v>14.8</v>
      </c>
      <c r="O53" s="3">
        <f>=B53*(N53*F53/10000)*J53</f>
      </c>
    </row>
    <row r="54" spans="1:15" x14ac:dyDescent="0.25">
      <c r="A54" s="2" t="s">
        <v>316</v>
      </c>
      <c r="B54" s="4">
        <v>27</v>
      </c>
      <c r="C54" s="4" t="s">
        <v>27</v>
      </c>
      <c r="D54" s="4"/>
      <c r="E54" s="4"/>
      <c r="F54" s="4">
        <v>14.8</v>
      </c>
      <c r="G54" s="4" t="s">
        <v>317</v>
      </c>
      <c r="H54" s="4"/>
      <c r="I54" s="4"/>
      <c r="J54" s="4">
        <v>6.08</v>
      </c>
      <c r="K54" s="4"/>
      <c r="L54" s="4"/>
      <c r="M54" s="4" t="s">
        <v>18</v>
      </c>
      <c r="N54" s="4">
        <v>10.5</v>
      </c>
      <c r="O54" s="3">
        <f>=B54*(N54*F54/10000)*J54</f>
      </c>
    </row>
    <row r="55" spans="1:15" x14ac:dyDescent="0.25">
      <c r="A55" s="2" t="s">
        <v>318</v>
      </c>
      <c r="B55" s="4">
        <v>1</v>
      </c>
      <c r="C55" s="4" t="s">
        <v>27</v>
      </c>
      <c r="D55" s="4"/>
      <c r="E55" s="4"/>
      <c r="F55" s="4">
        <v>32</v>
      </c>
      <c r="G55" s="4" t="s">
        <v>319</v>
      </c>
      <c r="H55" s="4"/>
      <c r="I55" s="4"/>
      <c r="J55" s="4">
        <v>6.08</v>
      </c>
      <c r="K55" s="4"/>
      <c r="L55" s="4"/>
      <c r="M55" s="4" t="s">
        <v>18</v>
      </c>
      <c r="N55" s="4">
        <v>47</v>
      </c>
      <c r="O55" s="3">
        <f>=B55*(N55*F55/10000)*J55</f>
      </c>
    </row>
    <row r="56" spans="1:15" x14ac:dyDescent="0.25">
      <c r="A56" s="2" t="s">
        <v>320</v>
      </c>
      <c r="B56" s="4">
        <v>1</v>
      </c>
      <c r="C56" s="4" t="s">
        <v>27</v>
      </c>
      <c r="D56" s="4"/>
      <c r="E56" s="4"/>
      <c r="F56" s="4">
        <v>15</v>
      </c>
      <c r="G56" s="4" t="s">
        <v>321</v>
      </c>
      <c r="H56" s="4"/>
      <c r="I56" s="4"/>
      <c r="J56" s="4">
        <v>6.08</v>
      </c>
      <c r="K56" s="4"/>
      <c r="L56" s="4"/>
      <c r="M56" s="4" t="s">
        <v>18</v>
      </c>
      <c r="N56" s="4">
        <v>67.5</v>
      </c>
      <c r="O56" s="3">
        <f>=B56*(N56*F56/10000)*J56</f>
      </c>
    </row>
    <row r="57" spans="1:15" x14ac:dyDescent="0.25">
      <c r="A57" s="2" t="s">
        <v>322</v>
      </c>
      <c r="B57" s="4">
        <v>1</v>
      </c>
      <c r="C57" s="4" t="s">
        <v>27</v>
      </c>
      <c r="D57" s="4"/>
      <c r="E57" s="4"/>
      <c r="F57" s="4">
        <v>24</v>
      </c>
      <c r="G57" s="4" t="s">
        <v>323</v>
      </c>
      <c r="H57" s="4"/>
      <c r="I57" s="4"/>
      <c r="J57" s="4">
        <v>6.08</v>
      </c>
      <c r="K57" s="4"/>
      <c r="L57" s="4"/>
      <c r="M57" s="4" t="s">
        <v>18</v>
      </c>
      <c r="N57" s="4">
        <v>99</v>
      </c>
      <c r="O57" s="3">
        <f>=B57*(N57*F57/10000)*J57</f>
      </c>
    </row>
    <row r="58" spans="1:15" x14ac:dyDescent="0.25">
      <c r="A58" s="2" t="s">
        <v>324</v>
      </c>
      <c r="B58" s="4">
        <v>2</v>
      </c>
      <c r="C58" s="4" t="s">
        <v>27</v>
      </c>
      <c r="D58" s="4"/>
      <c r="E58" s="4"/>
      <c r="F58" s="4">
        <v>38</v>
      </c>
      <c r="G58" s="4" t="s">
        <v>325</v>
      </c>
      <c r="H58" s="4"/>
      <c r="I58" s="4"/>
      <c r="J58" s="4">
        <v>6.08</v>
      </c>
      <c r="K58" s="4"/>
      <c r="L58" s="4"/>
      <c r="M58" s="4" t="s">
        <v>18</v>
      </c>
      <c r="N58" s="4">
        <v>80</v>
      </c>
      <c r="O58" s="3">
        <f>=B58*(N58*F58/10000)*J58</f>
      </c>
    </row>
    <row r="59" spans="1:15" x14ac:dyDescent="0.25">
      <c r="A59" s="2" t="s">
        <v>326</v>
      </c>
      <c r="B59" s="4">
        <v>1</v>
      </c>
      <c r="C59" s="4" t="s">
        <v>27</v>
      </c>
      <c r="D59" s="4"/>
      <c r="E59" s="4"/>
      <c r="F59" s="4">
        <v>72.5</v>
      </c>
      <c r="G59" s="4" t="s">
        <v>327</v>
      </c>
      <c r="H59" s="4"/>
      <c r="I59" s="4"/>
      <c r="J59" s="4">
        <v>6.08</v>
      </c>
      <c r="K59" s="4"/>
      <c r="L59" s="4"/>
      <c r="M59" s="4" t="s">
        <v>18</v>
      </c>
      <c r="N59" s="4">
        <v>120</v>
      </c>
      <c r="O59" s="3">
        <f>=B59*(N59*F59/10000)*J59</f>
      </c>
    </row>
    <row r="60" spans="1:15" x14ac:dyDescent="0.25">
      <c r="A60" s="2" t="s">
        <v>328</v>
      </c>
      <c r="B60" s="4">
        <v>1</v>
      </c>
      <c r="C60" s="4" t="s">
        <v>27</v>
      </c>
      <c r="D60" s="4"/>
      <c r="E60" s="4"/>
      <c r="F60" s="4">
        <v>17.5</v>
      </c>
      <c r="G60" s="4" t="s">
        <v>329</v>
      </c>
      <c r="H60" s="4"/>
      <c r="I60" s="4"/>
      <c r="J60" s="4">
        <v>6.08</v>
      </c>
      <c r="K60" s="4"/>
      <c r="L60" s="4"/>
      <c r="M60" s="4" t="s">
        <v>18</v>
      </c>
      <c r="N60" s="4">
        <v>120</v>
      </c>
      <c r="O60" s="3">
        <f>=B60*(N60*F60/10000)*J60</f>
      </c>
    </row>
    <row r="61" spans="1:15" x14ac:dyDescent="0.25">
      <c r="A61" s="2" t="s">
        <v>330</v>
      </c>
      <c r="B61" s="4">
        <v>1</v>
      </c>
      <c r="C61" s="4" t="s">
        <v>27</v>
      </c>
      <c r="D61" s="4"/>
      <c r="E61" s="4"/>
      <c r="F61" s="4">
        <v>12</v>
      </c>
      <c r="G61" s="4" t="s">
        <v>331</v>
      </c>
      <c r="H61" s="4"/>
      <c r="I61" s="4"/>
      <c r="J61" s="4">
        <v>6.08</v>
      </c>
      <c r="K61" s="4">
        <v>3</v>
      </c>
      <c r="L61" s="4"/>
      <c r="M61" s="4" t="s">
        <v>18</v>
      </c>
      <c r="N61" s="4">
        <v>100</v>
      </c>
      <c r="O61" s="3">
        <f>=B61*(N61*F61/10000)*J61</f>
      </c>
    </row>
    <row r="62" spans="1:15" x14ac:dyDescent="0.25">
      <c r="A62" s="2" t="s">
        <v>332</v>
      </c>
      <c r="B62" s="4">
        <v>1</v>
      </c>
      <c r="C62" s="4" t="s">
        <v>27</v>
      </c>
      <c r="D62" s="4"/>
      <c r="E62" s="4"/>
      <c r="F62" s="4">
        <v>19</v>
      </c>
      <c r="G62" s="4" t="s">
        <v>333</v>
      </c>
      <c r="H62" s="4"/>
      <c r="I62" s="4"/>
      <c r="J62" s="4">
        <v>6.08</v>
      </c>
      <c r="K62" s="4"/>
      <c r="L62" s="4"/>
      <c r="M62" s="4" t="s">
        <v>18</v>
      </c>
      <c r="N62" s="4">
        <v>150</v>
      </c>
      <c r="O62" s="3">
        <f>=B62*(N62*F62/10000)*J62</f>
      </c>
    </row>
    <row r="63" spans="1:15" x14ac:dyDescent="0.25">
      <c r="A63" s="2" t="s">
        <v>334</v>
      </c>
      <c r="B63" s="4">
        <v>1</v>
      </c>
      <c r="C63" s="4" t="s">
        <v>27</v>
      </c>
      <c r="D63" s="4"/>
      <c r="E63" s="4"/>
      <c r="F63" s="4">
        <v>31</v>
      </c>
      <c r="G63" s="4" t="s">
        <v>335</v>
      </c>
      <c r="H63" s="4"/>
      <c r="I63" s="4"/>
      <c r="J63" s="4">
        <v>6.08</v>
      </c>
      <c r="K63" s="4"/>
      <c r="L63" s="4"/>
      <c r="M63" s="4" t="s">
        <v>18</v>
      </c>
      <c r="N63" s="4">
        <v>77</v>
      </c>
      <c r="O63" s="3">
        <f>=B63*(N63*F63/10000)*J63</f>
      </c>
    </row>
    <row r="64" spans="1:15" x14ac:dyDescent="0.25">
      <c r="A64" s="2" t="s">
        <v>336</v>
      </c>
      <c r="B64" s="4">
        <v>1</v>
      </c>
      <c r="C64" s="4" t="s">
        <v>27</v>
      </c>
      <c r="D64" s="4"/>
      <c r="E64" s="4"/>
      <c r="F64" s="4">
        <v>70</v>
      </c>
      <c r="G64" s="4" t="s">
        <v>337</v>
      </c>
      <c r="H64" s="4"/>
      <c r="I64" s="4"/>
      <c r="J64" s="4">
        <v>6.08</v>
      </c>
      <c r="K64" s="4"/>
      <c r="L64" s="4"/>
      <c r="M64" s="4" t="s">
        <v>18</v>
      </c>
      <c r="N64" s="4">
        <v>83</v>
      </c>
      <c r="O64" s="3">
        <f>=B64*(N64*F64/10000)*J64</f>
      </c>
    </row>
    <row r="65" spans="1:15" x14ac:dyDescent="0.25">
      <c r="A65" s="2" t="s">
        <v>338</v>
      </c>
      <c r="B65" s="4">
        <v>1</v>
      </c>
      <c r="C65" s="4" t="s">
        <v>27</v>
      </c>
      <c r="D65" s="4"/>
      <c r="E65" s="4"/>
      <c r="F65" s="4">
        <v>25.5</v>
      </c>
      <c r="G65" s="4" t="s">
        <v>339</v>
      </c>
      <c r="H65" s="4"/>
      <c r="I65" s="4"/>
      <c r="J65" s="4">
        <v>6.08</v>
      </c>
      <c r="K65" s="4">
        <v>3</v>
      </c>
      <c r="L65" s="4"/>
      <c r="M65" s="4" t="s">
        <v>18</v>
      </c>
      <c r="N65" s="4">
        <v>240</v>
      </c>
      <c r="O65" s="3">
        <f>=B65*(N65*F65/10000)*J65</f>
      </c>
    </row>
    <row r="66" spans="1:15" x14ac:dyDescent="0.25">
      <c r="A66" s="2" t="s">
        <v>340</v>
      </c>
      <c r="B66" s="4">
        <v>0</v>
      </c>
      <c r="C66" s="4" t="s">
        <v>27</v>
      </c>
      <c r="D66" s="4"/>
      <c r="E66" s="4"/>
      <c r="F66" s="4">
        <v>25</v>
      </c>
      <c r="G66" s="4" t="s">
        <v>341</v>
      </c>
      <c r="H66" s="4"/>
      <c r="I66" s="4"/>
      <c r="J66" s="4">
        <v>6.08</v>
      </c>
      <c r="K66" s="4">
        <v>3</v>
      </c>
      <c r="L66" s="4"/>
      <c r="M66" s="4" t="s">
        <v>342</v>
      </c>
      <c r="N66" s="4">
        <v>70</v>
      </c>
      <c r="O66" s="3">
        <f>=B66*(N66*F66/10000)*J66</f>
      </c>
    </row>
    <row r="67" spans="1:15" x14ac:dyDescent="0.25">
      <c r="A67" s="2" t="s">
        <v>343</v>
      </c>
      <c r="B67" s="4">
        <v>0</v>
      </c>
      <c r="C67" s="4" t="s">
        <v>27</v>
      </c>
      <c r="D67" s="4"/>
      <c r="E67" s="4"/>
      <c r="F67" s="4">
        <v>55</v>
      </c>
      <c r="G67" s="4" t="s">
        <v>344</v>
      </c>
      <c r="H67" s="4"/>
      <c r="I67" s="4"/>
      <c r="J67" s="4">
        <v>6.08</v>
      </c>
      <c r="K67" s="4">
        <v>3</v>
      </c>
      <c r="L67" s="4"/>
      <c r="M67" s="4"/>
      <c r="N67" s="4">
        <v>135</v>
      </c>
      <c r="O67" s="3">
        <f>=B67*(N67*F67/10000)*J67</f>
      </c>
    </row>
    <row r="68" spans="1:15" x14ac:dyDescent="0.25">
      <c r="A68" s="2" t="s">
        <v>345</v>
      </c>
      <c r="B68" s="4">
        <v>0</v>
      </c>
      <c r="C68" s="4" t="s">
        <v>27</v>
      </c>
      <c r="D68" s="4"/>
      <c r="E68" s="4"/>
      <c r="F68" s="4">
        <v>25</v>
      </c>
      <c r="G68" s="4" t="s">
        <v>346</v>
      </c>
      <c r="H68" s="4"/>
      <c r="I68" s="4"/>
      <c r="J68" s="4">
        <v>6.08</v>
      </c>
      <c r="K68" s="4">
        <v>3</v>
      </c>
      <c r="L68" s="4"/>
      <c r="M68" s="4" t="s">
        <v>342</v>
      </c>
      <c r="N68" s="4">
        <v>145</v>
      </c>
      <c r="O68" s="3">
        <f>=B68*(N68*F68/10000)*J68</f>
      </c>
    </row>
    <row r="69" spans="1:15" x14ac:dyDescent="0.25">
      <c r="A69" s="2" t="s">
        <v>347</v>
      </c>
      <c r="B69" s="4">
        <v>2</v>
      </c>
      <c r="C69" s="4" t="s">
        <v>27</v>
      </c>
      <c r="D69" s="4"/>
      <c r="E69" s="4"/>
      <c r="F69" s="4">
        <v>30</v>
      </c>
      <c r="G69" s="4" t="s">
        <v>348</v>
      </c>
      <c r="H69" s="4"/>
      <c r="I69" s="4"/>
      <c r="J69" s="4">
        <v>6.08</v>
      </c>
      <c r="K69" s="4"/>
      <c r="L69" s="4"/>
      <c r="M69" s="4" t="s">
        <v>18</v>
      </c>
      <c r="N69" s="4">
        <v>40</v>
      </c>
      <c r="O69" s="3">
        <f>=B69*(N69*F69/10000)*J69</f>
      </c>
    </row>
    <row r="70" spans="1:15" x14ac:dyDescent="0.25">
      <c r="A70" s="2" t="s">
        <v>349</v>
      </c>
      <c r="B70" s="4">
        <v>1</v>
      </c>
      <c r="C70" s="4" t="s">
        <v>27</v>
      </c>
      <c r="D70" s="4"/>
      <c r="E70" s="4"/>
      <c r="F70" s="4">
        <v>32</v>
      </c>
      <c r="G70" s="4" t="s">
        <v>350</v>
      </c>
      <c r="H70" s="4"/>
      <c r="I70" s="4"/>
      <c r="J70" s="4">
        <v>6.08</v>
      </c>
      <c r="K70" s="4"/>
      <c r="L70" s="4"/>
      <c r="M70" s="4" t="s">
        <v>18</v>
      </c>
      <c r="N70" s="4">
        <v>40</v>
      </c>
      <c r="O70" s="3">
        <f>=B70*(N70*F70/10000)*J70</f>
      </c>
    </row>
    <row r="71" spans="1:15" x14ac:dyDescent="0.25">
      <c r="A71" s="2" t="s">
        <v>351</v>
      </c>
      <c r="B71" s="4">
        <v>1</v>
      </c>
      <c r="C71" s="4" t="s">
        <v>27</v>
      </c>
      <c r="D71" s="4"/>
      <c r="E71" s="4"/>
      <c r="F71" s="4">
        <v>34</v>
      </c>
      <c r="G71" s="4" t="s">
        <v>352</v>
      </c>
      <c r="H71" s="4"/>
      <c r="I71" s="4"/>
      <c r="J71" s="4">
        <v>6.08</v>
      </c>
      <c r="K71" s="4"/>
      <c r="L71" s="4"/>
      <c r="M71" s="4" t="s">
        <v>18</v>
      </c>
      <c r="N71" s="4">
        <v>40</v>
      </c>
      <c r="O71" s="3">
        <f>=B71*(N71*F71/10000)*J71</f>
      </c>
    </row>
    <row r="72" spans="1:15" x14ac:dyDescent="0.25">
      <c r="A72" s="2" t="s">
        <v>353</v>
      </c>
      <c r="B72" s="4">
        <v>1</v>
      </c>
      <c r="C72" s="4" t="s">
        <v>27</v>
      </c>
      <c r="D72" s="4"/>
      <c r="E72" s="4"/>
      <c r="F72" s="4">
        <v>38</v>
      </c>
      <c r="G72" s="4" t="s">
        <v>354</v>
      </c>
      <c r="H72" s="4"/>
      <c r="I72" s="4"/>
      <c r="J72" s="4">
        <v>6.08</v>
      </c>
      <c r="K72" s="4">
        <v>3</v>
      </c>
      <c r="L72" s="4"/>
      <c r="M72" s="4" t="s">
        <v>18</v>
      </c>
      <c r="N72" s="4">
        <v>39</v>
      </c>
      <c r="O72" s="3">
        <f>=B72*(N72*F72/10000)*J72</f>
      </c>
    </row>
    <row r="73" spans="1:15" x14ac:dyDescent="0.25">
      <c r="A73" s="2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5" t="s">
        <v>25</v>
      </c>
      <c r="O73" s="6">
        <f>=SUM(O2:O72)</f>
      </c>
    </row>
  </sheetData>
  <sheetProtection sheet="1" algorithmName="SHA-512" hashValue="LeT51T2mHynZxKxZWNZ8X2/DG1g+GVkvRLGAJoRIt8UHIJLtUHX9VvJL/ndInhOMVUpfoop+Mx16+203XTZ5/Q==" saltValue="PdOEAf/iiMbbEmI29e4zX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3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355</v>
      </c>
      <c r="B2" s="4">
        <v>1</v>
      </c>
      <c r="C2" s="4" t="s">
        <v>27</v>
      </c>
      <c r="D2" s="4"/>
      <c r="E2" s="4"/>
      <c r="F2" s="4">
        <v>30</v>
      </c>
      <c r="G2" s="4" t="s">
        <v>356</v>
      </c>
      <c r="H2" s="4"/>
      <c r="I2" s="4"/>
      <c r="J2" s="4">
        <v>4.58</v>
      </c>
      <c r="K2" s="4">
        <v>3</v>
      </c>
      <c r="L2" s="4"/>
      <c r="M2" s="4" t="s">
        <v>18</v>
      </c>
      <c r="N2" s="4">
        <v>41</v>
      </c>
      <c r="O2" s="3">
        <f>=B2*(N2*F2/10000)*J2</f>
      </c>
    </row>
    <row r="3" spans="1:15" x14ac:dyDescent="0.25">
      <c r="A3" s="2" t="s">
        <v>357</v>
      </c>
      <c r="B3" s="4">
        <v>1</v>
      </c>
      <c r="C3" s="4" t="s">
        <v>27</v>
      </c>
      <c r="D3" s="4"/>
      <c r="E3" s="4"/>
      <c r="F3" s="4">
        <v>20</v>
      </c>
      <c r="G3" s="4" t="s">
        <v>358</v>
      </c>
      <c r="H3" s="4"/>
      <c r="I3" s="4"/>
      <c r="J3" s="4">
        <v>4.58</v>
      </c>
      <c r="K3" s="4">
        <v>3</v>
      </c>
      <c r="L3" s="4"/>
      <c r="M3" s="4" t="s">
        <v>18</v>
      </c>
      <c r="N3" s="4">
        <v>28</v>
      </c>
      <c r="O3" s="3">
        <f>=B3*(N3*F3/10000)*J3</f>
      </c>
    </row>
    <row r="4" spans="1:15" x14ac:dyDescent="0.25">
      <c r="A4" s="2" t="s">
        <v>359</v>
      </c>
      <c r="B4" s="4">
        <v>1</v>
      </c>
      <c r="C4" s="4" t="s">
        <v>27</v>
      </c>
      <c r="D4" s="4"/>
      <c r="E4" s="4"/>
      <c r="F4" s="4">
        <v>29</v>
      </c>
      <c r="G4" s="4" t="s">
        <v>360</v>
      </c>
      <c r="H4" s="4"/>
      <c r="I4" s="4"/>
      <c r="J4" s="4">
        <v>4.58</v>
      </c>
      <c r="K4" s="4">
        <v>3</v>
      </c>
      <c r="L4" s="4"/>
      <c r="M4" s="4" t="s">
        <v>18</v>
      </c>
      <c r="N4" s="4">
        <v>20</v>
      </c>
      <c r="O4" s="3">
        <f>=B4*(N4*F4/10000)*J4</f>
      </c>
    </row>
    <row r="5" spans="1:15" x14ac:dyDescent="0.25">
      <c r="A5" s="2" t="s">
        <v>361</v>
      </c>
      <c r="B5" s="4">
        <v>1</v>
      </c>
      <c r="C5" s="4" t="s">
        <v>27</v>
      </c>
      <c r="D5" s="4"/>
      <c r="E5" s="4"/>
      <c r="F5" s="4">
        <v>28</v>
      </c>
      <c r="G5" s="4" t="s">
        <v>362</v>
      </c>
      <c r="H5" s="4"/>
      <c r="I5" s="4"/>
      <c r="J5" s="4">
        <v>4.58</v>
      </c>
      <c r="K5" s="4">
        <v>3</v>
      </c>
      <c r="L5" s="4"/>
      <c r="M5" s="4" t="s">
        <v>18</v>
      </c>
      <c r="N5" s="4">
        <v>24.5</v>
      </c>
      <c r="O5" s="3">
        <f>=B5*(N5*F5/10000)*J5</f>
      </c>
    </row>
    <row r="6" spans="1:15" x14ac:dyDescent="0.25">
      <c r="A6" s="2" t="s">
        <v>363</v>
      </c>
      <c r="B6" s="4">
        <v>2</v>
      </c>
      <c r="C6" s="4" t="s">
        <v>27</v>
      </c>
      <c r="D6" s="4"/>
      <c r="E6" s="4"/>
      <c r="F6" s="4">
        <v>28.5</v>
      </c>
      <c r="G6" s="4" t="s">
        <v>364</v>
      </c>
      <c r="H6" s="4"/>
      <c r="I6" s="4"/>
      <c r="J6" s="4">
        <v>4.58</v>
      </c>
      <c r="K6" s="4">
        <v>3</v>
      </c>
      <c r="L6" s="4"/>
      <c r="M6" s="4" t="s">
        <v>18</v>
      </c>
      <c r="N6" s="4">
        <v>25.5</v>
      </c>
      <c r="O6" s="3">
        <f>=B6*(N6*F6/10000)*J6</f>
      </c>
    </row>
    <row r="7" spans="1:15" x14ac:dyDescent="0.25">
      <c r="A7" s="2" t="s">
        <v>365</v>
      </c>
      <c r="B7" s="4">
        <v>1</v>
      </c>
      <c r="C7" s="4" t="s">
        <v>27</v>
      </c>
      <c r="D7" s="4"/>
      <c r="E7" s="4"/>
      <c r="F7" s="4">
        <v>24</v>
      </c>
      <c r="G7" s="4" t="s">
        <v>366</v>
      </c>
      <c r="H7" s="4"/>
      <c r="I7" s="4"/>
      <c r="J7" s="4">
        <v>4.58</v>
      </c>
      <c r="K7" s="4">
        <v>3</v>
      </c>
      <c r="L7" s="4"/>
      <c r="M7" s="4" t="s">
        <v>18</v>
      </c>
      <c r="N7" s="4">
        <v>60</v>
      </c>
      <c r="O7" s="3">
        <f>=B7*(N7*F7/10000)*J7</f>
      </c>
    </row>
    <row r="8" spans="1:15" x14ac:dyDescent="0.25">
      <c r="A8" s="2" t="s">
        <v>367</v>
      </c>
      <c r="B8" s="4">
        <v>1</v>
      </c>
      <c r="C8" s="4" t="s">
        <v>27</v>
      </c>
      <c r="D8" s="4"/>
      <c r="E8" s="4"/>
      <c r="F8" s="4">
        <v>52</v>
      </c>
      <c r="G8" s="4" t="s">
        <v>368</v>
      </c>
      <c r="H8" s="4"/>
      <c r="I8" s="4"/>
      <c r="J8" s="4">
        <v>4.58</v>
      </c>
      <c r="K8" s="4">
        <v>3</v>
      </c>
      <c r="L8" s="4"/>
      <c r="M8" s="4" t="s">
        <v>18</v>
      </c>
      <c r="N8" s="4">
        <v>20</v>
      </c>
      <c r="O8" s="3">
        <f>=B8*(N8*F8/10000)*J8</f>
      </c>
    </row>
    <row r="9" spans="1:15" x14ac:dyDescent="0.25">
      <c r="A9" s="2" t="s">
        <v>369</v>
      </c>
      <c r="B9" s="4">
        <v>1</v>
      </c>
      <c r="C9" s="4" t="s">
        <v>27</v>
      </c>
      <c r="D9" s="4"/>
      <c r="E9" s="4"/>
      <c r="F9" s="4">
        <v>30</v>
      </c>
      <c r="G9" s="4" t="s">
        <v>370</v>
      </c>
      <c r="H9" s="4"/>
      <c r="I9" s="4"/>
      <c r="J9" s="4">
        <v>4.58</v>
      </c>
      <c r="K9" s="4">
        <v>3</v>
      </c>
      <c r="L9" s="4"/>
      <c r="M9" s="4" t="s">
        <v>18</v>
      </c>
      <c r="N9" s="4">
        <v>40</v>
      </c>
      <c r="O9" s="3">
        <f>=B9*(N9*F9/10000)*J9</f>
      </c>
    </row>
    <row r="10" spans="1:15" x14ac:dyDescent="0.25">
      <c r="A10" s="2" t="s">
        <v>371</v>
      </c>
      <c r="B10" s="4">
        <v>1</v>
      </c>
      <c r="C10" s="4" t="s">
        <v>27</v>
      </c>
      <c r="D10" s="4"/>
      <c r="E10" s="4"/>
      <c r="F10" s="4">
        <v>25</v>
      </c>
      <c r="G10" s="4" t="s">
        <v>372</v>
      </c>
      <c r="H10" s="4"/>
      <c r="I10" s="4"/>
      <c r="J10" s="4">
        <v>4.58</v>
      </c>
      <c r="K10" s="4">
        <v>3</v>
      </c>
      <c r="L10" s="4"/>
      <c r="M10" s="4" t="s">
        <v>18</v>
      </c>
      <c r="N10" s="4">
        <v>28</v>
      </c>
      <c r="O10" s="3">
        <f>=B10*(N10*F10/10000)*J10</f>
      </c>
    </row>
    <row r="11" spans="1:15" x14ac:dyDescent="0.25">
      <c r="A11" s="2" t="s">
        <v>373</v>
      </c>
      <c r="B11" s="4">
        <v>2</v>
      </c>
      <c r="C11" s="4" t="s">
        <v>27</v>
      </c>
      <c r="D11" s="4"/>
      <c r="E11" s="4"/>
      <c r="F11" s="4">
        <v>15</v>
      </c>
      <c r="G11" s="4" t="s">
        <v>374</v>
      </c>
      <c r="H11" s="4"/>
      <c r="I11" s="4"/>
      <c r="J11" s="4">
        <v>4.58</v>
      </c>
      <c r="K11" s="4">
        <v>3</v>
      </c>
      <c r="L11" s="4"/>
      <c r="M11" s="4" t="s">
        <v>18</v>
      </c>
      <c r="N11" s="4">
        <v>22</v>
      </c>
      <c r="O11" s="3">
        <f>=B11*(N11*F11/10000)*J11</f>
      </c>
    </row>
    <row r="12" spans="1:15" x14ac:dyDescent="0.25">
      <c r="A12" s="2" t="s">
        <v>375</v>
      </c>
      <c r="B12" s="4">
        <v>1</v>
      </c>
      <c r="C12" s="4" t="s">
        <v>27</v>
      </c>
      <c r="D12" s="4"/>
      <c r="E12" s="4"/>
      <c r="F12" s="4">
        <v>19</v>
      </c>
      <c r="G12" s="4" t="s">
        <v>376</v>
      </c>
      <c r="H12" s="4"/>
      <c r="I12" s="4"/>
      <c r="J12" s="4">
        <v>4.58</v>
      </c>
      <c r="K12" s="4">
        <v>3</v>
      </c>
      <c r="L12" s="4"/>
      <c r="M12" s="4" t="s">
        <v>18</v>
      </c>
      <c r="N12" s="4">
        <v>20</v>
      </c>
      <c r="O12" s="3">
        <f>=B12*(N12*F12/10000)*J12</f>
      </c>
    </row>
    <row r="13" spans="1:15" x14ac:dyDescent="0.25">
      <c r="A13" s="2" t="s">
        <v>377</v>
      </c>
      <c r="B13" s="4">
        <v>1</v>
      </c>
      <c r="C13" s="4" t="s">
        <v>27</v>
      </c>
      <c r="D13" s="4"/>
      <c r="E13" s="4"/>
      <c r="F13" s="4">
        <v>20</v>
      </c>
      <c r="G13" s="4" t="s">
        <v>378</v>
      </c>
      <c r="H13" s="4"/>
      <c r="I13" s="4"/>
      <c r="J13" s="4">
        <v>4.58</v>
      </c>
      <c r="K13" s="4">
        <v>3</v>
      </c>
      <c r="L13" s="4"/>
      <c r="M13" s="4" t="s">
        <v>18</v>
      </c>
      <c r="N13" s="4">
        <v>23</v>
      </c>
      <c r="O13" s="3">
        <f>=B13*(N13*F13/10000)*J13</f>
      </c>
    </row>
    <row r="14" spans="1:15" x14ac:dyDescent="0.25">
      <c r="A14" s="2" t="s">
        <v>379</v>
      </c>
      <c r="B14" s="4">
        <v>3</v>
      </c>
      <c r="C14" s="4" t="s">
        <v>27</v>
      </c>
      <c r="D14" s="4"/>
      <c r="E14" s="4"/>
      <c r="F14" s="4">
        <v>24</v>
      </c>
      <c r="G14" s="4" t="s">
        <v>380</v>
      </c>
      <c r="H14" s="4"/>
      <c r="I14" s="4"/>
      <c r="J14" s="4">
        <v>4.58</v>
      </c>
      <c r="K14" s="4">
        <v>3</v>
      </c>
      <c r="L14" s="4"/>
      <c r="M14" s="4" t="s">
        <v>18</v>
      </c>
      <c r="N14" s="4">
        <v>21</v>
      </c>
      <c r="O14" s="3">
        <f>=B14*(N14*F14/10000)*J14</f>
      </c>
    </row>
    <row r="15" spans="1:15" x14ac:dyDescent="0.25">
      <c r="A15" s="2" t="s">
        <v>381</v>
      </c>
      <c r="B15" s="4">
        <v>1</v>
      </c>
      <c r="C15" s="4" t="s">
        <v>27</v>
      </c>
      <c r="D15" s="4"/>
      <c r="E15" s="4"/>
      <c r="F15" s="4">
        <v>25</v>
      </c>
      <c r="G15" s="4" t="s">
        <v>382</v>
      </c>
      <c r="H15" s="4"/>
      <c r="I15" s="4"/>
      <c r="J15" s="4">
        <v>4.58</v>
      </c>
      <c r="K15" s="4">
        <v>3</v>
      </c>
      <c r="L15" s="4"/>
      <c r="M15" s="4" t="s">
        <v>18</v>
      </c>
      <c r="N15" s="4">
        <v>19</v>
      </c>
      <c r="O15" s="3">
        <f>=B15*(N15*F15/10000)*J15</f>
      </c>
    </row>
    <row r="16" spans="1:15" x14ac:dyDescent="0.25">
      <c r="A16" s="2" t="s">
        <v>383</v>
      </c>
      <c r="B16" s="4">
        <v>1</v>
      </c>
      <c r="C16" s="4" t="s">
        <v>27</v>
      </c>
      <c r="D16" s="4"/>
      <c r="E16" s="4"/>
      <c r="F16" s="4">
        <v>25</v>
      </c>
      <c r="G16" s="4" t="s">
        <v>384</v>
      </c>
      <c r="H16" s="4"/>
      <c r="I16" s="4"/>
      <c r="J16" s="4">
        <v>4.58</v>
      </c>
      <c r="K16" s="4">
        <v>3</v>
      </c>
      <c r="L16" s="4"/>
      <c r="M16" s="4" t="s">
        <v>18</v>
      </c>
      <c r="N16" s="4">
        <v>21</v>
      </c>
      <c r="O16" s="3">
        <f>=B16*(N16*F16/10000)*J16</f>
      </c>
    </row>
    <row r="17" spans="1:15" x14ac:dyDescent="0.25">
      <c r="A17" s="2" t="s">
        <v>385</v>
      </c>
      <c r="B17" s="4">
        <v>3</v>
      </c>
      <c r="C17" s="4" t="s">
        <v>27</v>
      </c>
      <c r="D17" s="4"/>
      <c r="E17" s="4"/>
      <c r="F17" s="4">
        <v>22</v>
      </c>
      <c r="G17" s="4" t="s">
        <v>386</v>
      </c>
      <c r="H17" s="4"/>
      <c r="I17" s="4"/>
      <c r="J17" s="4">
        <v>4.58</v>
      </c>
      <c r="K17" s="4">
        <v>3</v>
      </c>
      <c r="L17" s="4"/>
      <c r="M17" s="4" t="s">
        <v>18</v>
      </c>
      <c r="N17" s="4">
        <v>22</v>
      </c>
      <c r="O17" s="3">
        <f>=B17*(N17*F17/10000)*J17</f>
      </c>
    </row>
    <row r="18" spans="1:15" x14ac:dyDescent="0.25">
      <c r="A18" s="2" t="s">
        <v>387</v>
      </c>
      <c r="B18" s="4">
        <v>1</v>
      </c>
      <c r="C18" s="4" t="s">
        <v>27</v>
      </c>
      <c r="D18" s="4"/>
      <c r="E18" s="4"/>
      <c r="F18" s="4">
        <v>49.5</v>
      </c>
      <c r="G18" s="4" t="s">
        <v>388</v>
      </c>
      <c r="H18" s="4"/>
      <c r="I18" s="4"/>
      <c r="J18" s="4">
        <v>4.58</v>
      </c>
      <c r="K18" s="4">
        <v>3</v>
      </c>
      <c r="L18" s="4"/>
      <c r="M18" s="4" t="s">
        <v>18</v>
      </c>
      <c r="N18" s="4">
        <v>14.5</v>
      </c>
      <c r="O18" s="3">
        <f>=B18*(N18*F18/10000)*J18</f>
      </c>
    </row>
    <row r="19" spans="1:15" x14ac:dyDescent="0.25">
      <c r="A19" s="2" t="s">
        <v>389</v>
      </c>
      <c r="B19" s="4">
        <v>1</v>
      </c>
      <c r="C19" s="4" t="s">
        <v>27</v>
      </c>
      <c r="D19" s="4"/>
      <c r="E19" s="4"/>
      <c r="F19" s="4">
        <v>25</v>
      </c>
      <c r="G19" s="4" t="s">
        <v>390</v>
      </c>
      <c r="H19" s="4"/>
      <c r="I19" s="4"/>
      <c r="J19" s="4">
        <v>4.58</v>
      </c>
      <c r="K19" s="4">
        <v>3</v>
      </c>
      <c r="L19" s="4"/>
      <c r="M19" s="4" t="s">
        <v>18</v>
      </c>
      <c r="N19" s="4">
        <v>25</v>
      </c>
      <c r="O19" s="3">
        <f>=B19*(N19*F19/10000)*J19</f>
      </c>
    </row>
    <row r="20" spans="1:15" x14ac:dyDescent="0.25">
      <c r="A20" s="2" t="s">
        <v>391</v>
      </c>
      <c r="B20" s="4">
        <v>1</v>
      </c>
      <c r="C20" s="4" t="s">
        <v>27</v>
      </c>
      <c r="D20" s="4"/>
      <c r="E20" s="4"/>
      <c r="F20" s="4">
        <v>29</v>
      </c>
      <c r="G20" s="4" t="s">
        <v>392</v>
      </c>
      <c r="H20" s="4"/>
      <c r="I20" s="4"/>
      <c r="J20" s="4">
        <v>4.58</v>
      </c>
      <c r="K20" s="4">
        <v>3</v>
      </c>
      <c r="L20" s="4"/>
      <c r="M20" s="4" t="s">
        <v>18</v>
      </c>
      <c r="N20" s="4">
        <v>31</v>
      </c>
      <c r="O20" s="3">
        <f>=B20*(N20*F20/10000)*J20</f>
      </c>
    </row>
    <row r="21" spans="1:15" x14ac:dyDescent="0.25">
      <c r="A21" s="2" t="s">
        <v>393</v>
      </c>
      <c r="B21" s="4">
        <v>1</v>
      </c>
      <c r="C21" s="4" t="s">
        <v>27</v>
      </c>
      <c r="D21" s="4"/>
      <c r="E21" s="4"/>
      <c r="F21" s="4">
        <v>30</v>
      </c>
      <c r="G21" s="4" t="s">
        <v>394</v>
      </c>
      <c r="H21" s="4"/>
      <c r="I21" s="4"/>
      <c r="J21" s="4">
        <v>4.58</v>
      </c>
      <c r="K21" s="4">
        <v>3</v>
      </c>
      <c r="L21" s="4"/>
      <c r="M21" s="4" t="s">
        <v>18</v>
      </c>
      <c r="N21" s="4">
        <v>19.7</v>
      </c>
      <c r="O21" s="3">
        <f>=B21*(N21*F21/10000)*J21</f>
      </c>
    </row>
    <row r="22" spans="1:15" x14ac:dyDescent="0.25">
      <c r="A22" s="2" t="s">
        <v>395</v>
      </c>
      <c r="B22" s="4">
        <v>1</v>
      </c>
      <c r="C22" s="4" t="s">
        <v>27</v>
      </c>
      <c r="D22" s="4"/>
      <c r="E22" s="4"/>
      <c r="F22" s="4">
        <v>29.1</v>
      </c>
      <c r="G22" s="4" t="s">
        <v>396</v>
      </c>
      <c r="H22" s="4"/>
      <c r="I22" s="4"/>
      <c r="J22" s="4">
        <v>4.58</v>
      </c>
      <c r="K22" s="4">
        <v>3</v>
      </c>
      <c r="L22" s="4"/>
      <c r="M22" s="4" t="s">
        <v>18</v>
      </c>
      <c r="N22" s="4">
        <v>19.7</v>
      </c>
      <c r="O22" s="3">
        <f>=B22*(N22*F22/10000)*J22</f>
      </c>
    </row>
    <row r="23" spans="1:15" x14ac:dyDescent="0.25">
      <c r="A23" s="2" t="s">
        <v>397</v>
      </c>
      <c r="B23" s="4">
        <v>1</v>
      </c>
      <c r="C23" s="4" t="s">
        <v>27</v>
      </c>
      <c r="D23" s="4"/>
      <c r="E23" s="4"/>
      <c r="F23" s="4">
        <v>22</v>
      </c>
      <c r="G23" s="4" t="s">
        <v>398</v>
      </c>
      <c r="H23" s="4"/>
      <c r="I23" s="4"/>
      <c r="J23" s="4">
        <v>4.58</v>
      </c>
      <c r="K23" s="4">
        <v>3</v>
      </c>
      <c r="L23" s="4"/>
      <c r="M23" s="4" t="s">
        <v>18</v>
      </c>
      <c r="N23" s="4">
        <v>20</v>
      </c>
      <c r="O23" s="3">
        <f>=B23*(N23*F23/10000)*J23</f>
      </c>
    </row>
    <row r="24" spans="1:15" x14ac:dyDescent="0.25">
      <c r="A24" s="2" t="s">
        <v>399</v>
      </c>
      <c r="B24" s="4">
        <v>1</v>
      </c>
      <c r="C24" s="4" t="s">
        <v>27</v>
      </c>
      <c r="D24" s="4"/>
      <c r="E24" s="4"/>
      <c r="F24" s="4">
        <v>29.9</v>
      </c>
      <c r="G24" s="4" t="s">
        <v>400</v>
      </c>
      <c r="H24" s="4"/>
      <c r="I24" s="4"/>
      <c r="J24" s="4">
        <v>4.58</v>
      </c>
      <c r="K24" s="4">
        <v>3</v>
      </c>
      <c r="L24" s="4"/>
      <c r="M24" s="4" t="s">
        <v>18</v>
      </c>
      <c r="N24" s="4">
        <v>29.6</v>
      </c>
      <c r="O24" s="3">
        <f>=B24*(N24*F24/10000)*J24</f>
      </c>
    </row>
    <row r="25" spans="1:15" x14ac:dyDescent="0.25">
      <c r="A25" s="2" t="s">
        <v>401</v>
      </c>
      <c r="B25" s="4">
        <v>1</v>
      </c>
      <c r="C25" s="4" t="s">
        <v>27</v>
      </c>
      <c r="D25" s="4"/>
      <c r="E25" s="4"/>
      <c r="F25" s="4">
        <v>29.9</v>
      </c>
      <c r="G25" s="4" t="s">
        <v>402</v>
      </c>
      <c r="H25" s="4"/>
      <c r="I25" s="4"/>
      <c r="J25" s="4">
        <v>4.58</v>
      </c>
      <c r="K25" s="4">
        <v>3</v>
      </c>
      <c r="L25" s="4"/>
      <c r="M25" s="4" t="s">
        <v>18</v>
      </c>
      <c r="N25" s="4">
        <v>29.9</v>
      </c>
      <c r="O25" s="3">
        <f>=B25*(N25*F25/10000)*J25</f>
      </c>
    </row>
    <row r="26" spans="1:15" x14ac:dyDescent="0.25">
      <c r="A26" s="2" t="s">
        <v>403</v>
      </c>
      <c r="B26" s="4">
        <v>1</v>
      </c>
      <c r="C26" s="4" t="s">
        <v>27</v>
      </c>
      <c r="D26" s="4"/>
      <c r="E26" s="4"/>
      <c r="F26" s="4">
        <v>19.5</v>
      </c>
      <c r="G26" s="4" t="s">
        <v>404</v>
      </c>
      <c r="H26" s="4"/>
      <c r="I26" s="4"/>
      <c r="J26" s="4">
        <v>4.58</v>
      </c>
      <c r="K26" s="4">
        <v>3</v>
      </c>
      <c r="L26" s="4"/>
      <c r="M26" s="4" t="s">
        <v>18</v>
      </c>
      <c r="N26" s="4">
        <v>14.5</v>
      </c>
      <c r="O26" s="3">
        <f>=B26*(N26*F26/10000)*J26</f>
      </c>
    </row>
    <row r="27" spans="1:15" x14ac:dyDescent="0.25">
      <c r="A27" s="2" t="s">
        <v>405</v>
      </c>
      <c r="B27" s="4">
        <v>1</v>
      </c>
      <c r="C27" s="4" t="s">
        <v>27</v>
      </c>
      <c r="D27" s="4"/>
      <c r="E27" s="4"/>
      <c r="F27" s="4">
        <v>14</v>
      </c>
      <c r="G27" s="4" t="s">
        <v>406</v>
      </c>
      <c r="H27" s="4"/>
      <c r="I27" s="4"/>
      <c r="J27" s="4">
        <v>4.58</v>
      </c>
      <c r="K27" s="4">
        <v>3</v>
      </c>
      <c r="L27" s="4"/>
      <c r="M27" s="4" t="s">
        <v>18</v>
      </c>
      <c r="N27" s="4">
        <v>20</v>
      </c>
      <c r="O27" s="3">
        <f>=B27*(N27*F27/10000)*J27</f>
      </c>
    </row>
    <row r="28" spans="1:15" x14ac:dyDescent="0.25">
      <c r="A28" s="2" t="s">
        <v>407</v>
      </c>
      <c r="B28" s="4">
        <v>1</v>
      </c>
      <c r="C28" s="4" t="s">
        <v>27</v>
      </c>
      <c r="D28" s="4"/>
      <c r="E28" s="4"/>
      <c r="F28" s="4">
        <v>13</v>
      </c>
      <c r="G28" s="4" t="s">
        <v>408</v>
      </c>
      <c r="H28" s="4"/>
      <c r="I28" s="4"/>
      <c r="J28" s="4">
        <v>4.58</v>
      </c>
      <c r="K28" s="4">
        <v>3</v>
      </c>
      <c r="L28" s="4"/>
      <c r="M28" s="4" t="s">
        <v>18</v>
      </c>
      <c r="N28" s="4">
        <v>28</v>
      </c>
      <c r="O28" s="3">
        <f>=B28*(N28*F28/10000)*J28</f>
      </c>
    </row>
    <row r="29" spans="1:15" x14ac:dyDescent="0.25">
      <c r="A29" s="2" t="s">
        <v>409</v>
      </c>
      <c r="B29" s="4">
        <v>1</v>
      </c>
      <c r="C29" s="4" t="s">
        <v>27</v>
      </c>
      <c r="D29" s="4"/>
      <c r="E29" s="4"/>
      <c r="F29" s="4">
        <v>27.5</v>
      </c>
      <c r="G29" s="4" t="s">
        <v>410</v>
      </c>
      <c r="H29" s="4"/>
      <c r="I29" s="4"/>
      <c r="J29" s="4">
        <v>4.58</v>
      </c>
      <c r="K29" s="4">
        <v>3</v>
      </c>
      <c r="L29" s="4"/>
      <c r="M29" s="4" t="s">
        <v>18</v>
      </c>
      <c r="N29" s="4">
        <v>14.5</v>
      </c>
      <c r="O29" s="3">
        <f>=B29*(N29*F29/10000)*J29</f>
      </c>
    </row>
    <row r="30" spans="1:15" x14ac:dyDescent="0.25">
      <c r="A30" s="2" t="s">
        <v>411</v>
      </c>
      <c r="B30" s="4">
        <v>10</v>
      </c>
      <c r="C30" s="4" t="s">
        <v>27</v>
      </c>
      <c r="D30" s="4"/>
      <c r="E30" s="4"/>
      <c r="F30" s="4">
        <v>5</v>
      </c>
      <c r="G30" s="4" t="s">
        <v>412</v>
      </c>
      <c r="H30" s="4"/>
      <c r="I30" s="4"/>
      <c r="J30" s="4">
        <v>4.58</v>
      </c>
      <c r="K30" s="4">
        <v>3</v>
      </c>
      <c r="L30" s="4"/>
      <c r="M30" s="4" t="s">
        <v>18</v>
      </c>
      <c r="N30" s="4">
        <v>8.5</v>
      </c>
      <c r="O30" s="3">
        <f>=B30*(N30*F30/10000)*J30</f>
      </c>
    </row>
    <row r="31" spans="1:15" x14ac:dyDescent="0.25">
      <c r="A31" s="2" t="s">
        <v>413</v>
      </c>
      <c r="B31" s="4">
        <v>111</v>
      </c>
      <c r="C31" s="4" t="s">
        <v>27</v>
      </c>
      <c r="D31" s="4"/>
      <c r="E31" s="4"/>
      <c r="F31" s="4">
        <v>4.7</v>
      </c>
      <c r="G31" s="4" t="s">
        <v>414</v>
      </c>
      <c r="H31" s="4"/>
      <c r="I31" s="4"/>
      <c r="J31" s="4">
        <v>4.58</v>
      </c>
      <c r="K31" s="4">
        <v>3</v>
      </c>
      <c r="L31" s="4"/>
      <c r="M31" s="4" t="s">
        <v>18</v>
      </c>
      <c r="N31" s="4">
        <v>10.5</v>
      </c>
      <c r="O31" s="3">
        <f>=B31*(N31*F31/10000)*J31</f>
      </c>
    </row>
    <row r="32" spans="1:15" x14ac:dyDescent="0.25">
      <c r="A32" s="2" t="s">
        <v>415</v>
      </c>
      <c r="B32" s="4">
        <v>35</v>
      </c>
      <c r="C32" s="4" t="s">
        <v>27</v>
      </c>
      <c r="D32" s="4"/>
      <c r="E32" s="4"/>
      <c r="F32" s="4">
        <v>7.5</v>
      </c>
      <c r="G32" s="4" t="s">
        <v>416</v>
      </c>
      <c r="H32" s="4"/>
      <c r="I32" s="4"/>
      <c r="J32" s="4">
        <v>4.58</v>
      </c>
      <c r="K32" s="4">
        <v>3</v>
      </c>
      <c r="L32" s="4"/>
      <c r="M32" s="4" t="s">
        <v>18</v>
      </c>
      <c r="N32" s="4">
        <v>10.5</v>
      </c>
      <c r="O32" s="3">
        <f>=B32*(N32*F32/10000)*J32</f>
      </c>
    </row>
    <row r="33" spans="1:15" x14ac:dyDescent="0.25">
      <c r="A33" s="2" t="s">
        <v>417</v>
      </c>
      <c r="B33" s="4">
        <v>50</v>
      </c>
      <c r="C33" s="4" t="s">
        <v>27</v>
      </c>
      <c r="D33" s="4"/>
      <c r="E33" s="4"/>
      <c r="F33" s="4">
        <v>10.5</v>
      </c>
      <c r="G33" s="4" t="s">
        <v>418</v>
      </c>
      <c r="H33" s="4"/>
      <c r="I33" s="4"/>
      <c r="J33" s="4">
        <v>4.58</v>
      </c>
      <c r="K33" s="4">
        <v>3</v>
      </c>
      <c r="L33" s="4"/>
      <c r="M33" s="4" t="s">
        <v>18</v>
      </c>
      <c r="N33" s="4">
        <v>14.8</v>
      </c>
      <c r="O33" s="3">
        <f>=B33*(N33*F33/10000)*J33</f>
      </c>
    </row>
    <row r="34" spans="1:15" x14ac:dyDescent="0.25">
      <c r="A34" s="2" t="s">
        <v>419</v>
      </c>
      <c r="B34" s="4">
        <v>23</v>
      </c>
      <c r="C34" s="4" t="s">
        <v>27</v>
      </c>
      <c r="D34" s="4"/>
      <c r="E34" s="4"/>
      <c r="F34" s="4">
        <v>21</v>
      </c>
      <c r="G34" s="4" t="s">
        <v>315</v>
      </c>
      <c r="H34" s="4"/>
      <c r="I34" s="4"/>
      <c r="J34" s="4">
        <v>4.58</v>
      </c>
      <c r="K34" s="4">
        <v>3</v>
      </c>
      <c r="L34" s="4"/>
      <c r="M34" s="4" t="s">
        <v>18</v>
      </c>
      <c r="N34" s="4">
        <v>14.8</v>
      </c>
      <c r="O34" s="3">
        <f>=B34*(N34*F34/10000)*J34</f>
      </c>
    </row>
    <row r="35" spans="1:15" x14ac:dyDescent="0.25">
      <c r="A35" s="2" t="s">
        <v>420</v>
      </c>
      <c r="B35" s="4">
        <v>1</v>
      </c>
      <c r="C35" s="4" t="s">
        <v>27</v>
      </c>
      <c r="D35" s="4"/>
      <c r="E35" s="4"/>
      <c r="F35" s="4">
        <v>76</v>
      </c>
      <c r="G35" s="4" t="s">
        <v>421</v>
      </c>
      <c r="H35" s="4"/>
      <c r="I35" s="4"/>
      <c r="J35" s="4">
        <v>4.58</v>
      </c>
      <c r="K35" s="4">
        <v>3</v>
      </c>
      <c r="L35" s="4"/>
      <c r="M35" s="4" t="s">
        <v>18</v>
      </c>
      <c r="N35" s="4">
        <v>10</v>
      </c>
      <c r="O35" s="3">
        <f>=B35*(N35*F35/10000)*J35</f>
      </c>
    </row>
    <row r="36" spans="1:15" x14ac:dyDescent="0.25">
      <c r="A36" s="2" t="s">
        <v>422</v>
      </c>
      <c r="B36" s="4">
        <v>1</v>
      </c>
      <c r="C36" s="4" t="s">
        <v>27</v>
      </c>
      <c r="D36" s="4"/>
      <c r="E36" s="4"/>
      <c r="F36" s="4">
        <v>12</v>
      </c>
      <c r="G36" s="4" t="s">
        <v>423</v>
      </c>
      <c r="H36" s="4"/>
      <c r="I36" s="4"/>
      <c r="J36" s="4">
        <v>4.58</v>
      </c>
      <c r="K36" s="4">
        <v>3</v>
      </c>
      <c r="L36" s="4"/>
      <c r="M36" s="4" t="s">
        <v>18</v>
      </c>
      <c r="N36" s="4">
        <v>30</v>
      </c>
      <c r="O36" s="3">
        <f>=B36*(N36*F36/10000)*J36</f>
      </c>
    </row>
    <row r="37" spans="1:15" x14ac:dyDescent="0.25">
      <c r="A37" s="2" t="s">
        <v>424</v>
      </c>
      <c r="B37" s="4">
        <v>1</v>
      </c>
      <c r="C37" s="4" t="s">
        <v>27</v>
      </c>
      <c r="D37" s="4"/>
      <c r="E37" s="4"/>
      <c r="F37" s="4">
        <v>10</v>
      </c>
      <c r="G37" s="4" t="s">
        <v>425</v>
      </c>
      <c r="H37" s="4"/>
      <c r="I37" s="4"/>
      <c r="J37" s="4">
        <v>4.58</v>
      </c>
      <c r="K37" s="4">
        <v>3</v>
      </c>
      <c r="L37" s="4"/>
      <c r="M37" s="4" t="s">
        <v>18</v>
      </c>
      <c r="N37" s="4">
        <v>48</v>
      </c>
      <c r="O37" s="3">
        <f>=B37*(N37*F37/10000)*J37</f>
      </c>
    </row>
    <row r="38" spans="1:15" x14ac:dyDescent="0.25">
      <c r="A38" s="2" t="s">
        <v>426</v>
      </c>
      <c r="B38" s="4">
        <v>1</v>
      </c>
      <c r="C38" s="4" t="s">
        <v>27</v>
      </c>
      <c r="D38" s="4"/>
      <c r="E38" s="4"/>
      <c r="F38" s="4">
        <v>50</v>
      </c>
      <c r="G38" s="4" t="s">
        <v>427</v>
      </c>
      <c r="H38" s="4"/>
      <c r="I38" s="4"/>
      <c r="J38" s="4">
        <v>4.58</v>
      </c>
      <c r="K38" s="4">
        <v>3</v>
      </c>
      <c r="L38" s="4"/>
      <c r="M38" s="4" t="s">
        <v>18</v>
      </c>
      <c r="N38" s="4">
        <v>10</v>
      </c>
      <c r="O38" s="3">
        <f>=B38*(N38*F38/10000)*J38</f>
      </c>
    </row>
    <row r="39" spans="1:15" x14ac:dyDescent="0.25">
      <c r="A39" s="2" t="s">
        <v>428</v>
      </c>
      <c r="B39" s="4">
        <v>1</v>
      </c>
      <c r="C39" s="4" t="s">
        <v>27</v>
      </c>
      <c r="D39" s="4"/>
      <c r="E39" s="4"/>
      <c r="F39" s="4">
        <v>67</v>
      </c>
      <c r="G39" s="4" t="s">
        <v>429</v>
      </c>
      <c r="H39" s="4"/>
      <c r="I39" s="4"/>
      <c r="J39" s="4">
        <v>4.58</v>
      </c>
      <c r="K39" s="4">
        <v>3</v>
      </c>
      <c r="L39" s="4"/>
      <c r="M39" s="4" t="s">
        <v>18</v>
      </c>
      <c r="N39" s="4">
        <v>10</v>
      </c>
      <c r="O39" s="3">
        <f>=B39*(N39*F39/10000)*J39</f>
      </c>
    </row>
    <row r="40" spans="1:15" x14ac:dyDescent="0.25">
      <c r="A40" s="2" t="s">
        <v>430</v>
      </c>
      <c r="B40" s="4">
        <v>1</v>
      </c>
      <c r="C40" s="4" t="s">
        <v>27</v>
      </c>
      <c r="D40" s="4"/>
      <c r="E40" s="4"/>
      <c r="F40" s="4">
        <v>12</v>
      </c>
      <c r="G40" s="4" t="s">
        <v>431</v>
      </c>
      <c r="H40" s="4"/>
      <c r="I40" s="4"/>
      <c r="J40" s="4">
        <v>4.58</v>
      </c>
      <c r="K40" s="4">
        <v>3</v>
      </c>
      <c r="L40" s="4"/>
      <c r="M40" s="4" t="s">
        <v>18</v>
      </c>
      <c r="N40" s="4">
        <v>70</v>
      </c>
      <c r="O40" s="3">
        <f>=B40*(N40*F40/10000)*J40</f>
      </c>
    </row>
    <row r="41" spans="1:15" x14ac:dyDescent="0.25">
      <c r="A41" s="2" t="s">
        <v>432</v>
      </c>
      <c r="B41" s="4">
        <v>1</v>
      </c>
      <c r="C41" s="4" t="s">
        <v>27</v>
      </c>
      <c r="D41" s="4"/>
      <c r="E41" s="4"/>
      <c r="F41" s="4">
        <v>13</v>
      </c>
      <c r="G41" s="4" t="s">
        <v>433</v>
      </c>
      <c r="H41" s="4"/>
      <c r="I41" s="4"/>
      <c r="J41" s="4">
        <v>4.58</v>
      </c>
      <c r="K41" s="4">
        <v>3</v>
      </c>
      <c r="L41" s="4"/>
      <c r="M41" s="4" t="s">
        <v>18</v>
      </c>
      <c r="N41" s="4">
        <v>74</v>
      </c>
      <c r="O41" s="3">
        <f>=B41*(N41*F41/10000)*J41</f>
      </c>
    </row>
    <row r="42" spans="1:15" x14ac:dyDescent="0.25">
      <c r="A42" s="2" t="s">
        <v>434</v>
      </c>
      <c r="B42" s="4">
        <v>1</v>
      </c>
      <c r="C42" s="4" t="s">
        <v>27</v>
      </c>
      <c r="D42" s="4"/>
      <c r="E42" s="4"/>
      <c r="F42" s="4">
        <v>100</v>
      </c>
      <c r="G42" s="4" t="s">
        <v>435</v>
      </c>
      <c r="H42" s="4"/>
      <c r="I42" s="4"/>
      <c r="J42" s="4">
        <v>4.58</v>
      </c>
      <c r="K42" s="4">
        <v>2</v>
      </c>
      <c r="L42" s="4"/>
      <c r="M42" s="4" t="s">
        <v>18</v>
      </c>
      <c r="N42" s="4">
        <v>22.5</v>
      </c>
      <c r="O42" s="3">
        <f>=B42*(N42*F42/10000)*J42</f>
      </c>
    </row>
    <row r="43" spans="1:15" x14ac:dyDescent="0.25">
      <c r="A43" s="2" t="s">
        <v>436</v>
      </c>
      <c r="B43" s="4">
        <v>1</v>
      </c>
      <c r="C43" s="4" t="s">
        <v>27</v>
      </c>
      <c r="D43" s="4"/>
      <c r="E43" s="4"/>
      <c r="F43" s="4">
        <v>18</v>
      </c>
      <c r="G43" s="4" t="s">
        <v>437</v>
      </c>
      <c r="H43" s="4"/>
      <c r="I43" s="4"/>
      <c r="J43" s="4">
        <v>4.58</v>
      </c>
      <c r="K43" s="4">
        <v>3</v>
      </c>
      <c r="L43" s="4"/>
      <c r="M43" s="4" t="s">
        <v>18</v>
      </c>
      <c r="N43" s="4">
        <v>51</v>
      </c>
      <c r="O43" s="3">
        <f>=B43*(N43*F43/10000)*J43</f>
      </c>
    </row>
    <row r="44" spans="1:15" x14ac:dyDescent="0.25">
      <c r="A44" s="2" t="s">
        <v>438</v>
      </c>
      <c r="B44" s="4">
        <v>1</v>
      </c>
      <c r="C44" s="4" t="s">
        <v>27</v>
      </c>
      <c r="D44" s="4"/>
      <c r="E44" s="4"/>
      <c r="F44" s="4">
        <v>67.5</v>
      </c>
      <c r="G44" s="4" t="s">
        <v>439</v>
      </c>
      <c r="H44" s="4"/>
      <c r="I44" s="4"/>
      <c r="J44" s="4">
        <v>4.58</v>
      </c>
      <c r="K44" s="4">
        <v>3</v>
      </c>
      <c r="L44" s="4"/>
      <c r="M44" s="4" t="s">
        <v>18</v>
      </c>
      <c r="N44" s="4">
        <v>10.5</v>
      </c>
      <c r="O44" s="3">
        <f>=B44*(N44*F44/10000)*J44</f>
      </c>
    </row>
    <row r="45" spans="1:15" x14ac:dyDescent="0.25">
      <c r="A45" s="2" t="s">
        <v>440</v>
      </c>
      <c r="B45" s="4">
        <v>1</v>
      </c>
      <c r="C45" s="4" t="s">
        <v>27</v>
      </c>
      <c r="D45" s="4"/>
      <c r="E45" s="4"/>
      <c r="F45" s="4">
        <v>12</v>
      </c>
      <c r="G45" s="4" t="s">
        <v>441</v>
      </c>
      <c r="H45" s="4"/>
      <c r="I45" s="4"/>
      <c r="J45" s="4">
        <v>4.58</v>
      </c>
      <c r="K45" s="4">
        <v>2</v>
      </c>
      <c r="L45" s="4"/>
      <c r="M45" s="4" t="s">
        <v>18</v>
      </c>
      <c r="N45" s="4">
        <v>34</v>
      </c>
      <c r="O45" s="3">
        <f>=B45*(N45*F45/10000)*J45</f>
      </c>
    </row>
    <row r="46" spans="1:15" x14ac:dyDescent="0.25">
      <c r="A46" s="2" t="s">
        <v>442</v>
      </c>
      <c r="B46" s="4">
        <v>1</v>
      </c>
      <c r="C46" s="4" t="s">
        <v>27</v>
      </c>
      <c r="D46" s="4"/>
      <c r="E46" s="4"/>
      <c r="F46" s="4">
        <v>35</v>
      </c>
      <c r="G46" s="4" t="s">
        <v>443</v>
      </c>
      <c r="H46" s="4"/>
      <c r="I46" s="4"/>
      <c r="J46" s="4">
        <v>4.58</v>
      </c>
      <c r="K46" s="4">
        <v>3</v>
      </c>
      <c r="L46" s="4"/>
      <c r="M46" s="4" t="s">
        <v>18</v>
      </c>
      <c r="N46" s="4">
        <v>9.5</v>
      </c>
      <c r="O46" s="3">
        <f>=B46*(N46*F46/10000)*J46</f>
      </c>
    </row>
    <row r="47" spans="1:15" x14ac:dyDescent="0.25">
      <c r="A47" s="2" t="s">
        <v>444</v>
      </c>
      <c r="B47" s="4">
        <v>1</v>
      </c>
      <c r="C47" s="4" t="s">
        <v>27</v>
      </c>
      <c r="D47" s="4"/>
      <c r="E47" s="4"/>
      <c r="F47" s="4">
        <v>34.5</v>
      </c>
      <c r="G47" s="4" t="s">
        <v>445</v>
      </c>
      <c r="H47" s="4"/>
      <c r="I47" s="4"/>
      <c r="J47" s="4">
        <v>4.58</v>
      </c>
      <c r="K47" s="4">
        <v>3</v>
      </c>
      <c r="L47" s="4"/>
      <c r="M47" s="4" t="s">
        <v>18</v>
      </c>
      <c r="N47" s="4">
        <v>10</v>
      </c>
      <c r="O47" s="3">
        <f>=B47*(N47*F47/10000)*J47</f>
      </c>
    </row>
    <row r="48" spans="1:15" x14ac:dyDescent="0.25">
      <c r="A48" s="2" t="s">
        <v>446</v>
      </c>
      <c r="B48" s="4">
        <v>3</v>
      </c>
      <c r="C48" s="4" t="s">
        <v>27</v>
      </c>
      <c r="D48" s="4"/>
      <c r="E48" s="4"/>
      <c r="F48" s="4">
        <v>35</v>
      </c>
      <c r="G48" s="4" t="s">
        <v>447</v>
      </c>
      <c r="H48" s="4"/>
      <c r="I48" s="4"/>
      <c r="J48" s="4">
        <v>4.58</v>
      </c>
      <c r="K48" s="4">
        <v>3</v>
      </c>
      <c r="L48" s="4"/>
      <c r="M48" s="4" t="s">
        <v>18</v>
      </c>
      <c r="N48" s="4">
        <v>10</v>
      </c>
      <c r="O48" s="3">
        <f>=B48*(N48*F48/10000)*J48</f>
      </c>
    </row>
    <row r="49" spans="1:15" x14ac:dyDescent="0.25">
      <c r="A49" s="2" t="s">
        <v>448</v>
      </c>
      <c r="B49" s="4">
        <v>1</v>
      </c>
      <c r="C49" s="4" t="s">
        <v>27</v>
      </c>
      <c r="D49" s="4"/>
      <c r="E49" s="4"/>
      <c r="F49" s="4">
        <v>14</v>
      </c>
      <c r="G49" s="4" t="s">
        <v>449</v>
      </c>
      <c r="H49" s="4"/>
      <c r="I49" s="4"/>
      <c r="J49" s="4">
        <v>4.58</v>
      </c>
      <c r="K49" s="4">
        <v>3</v>
      </c>
      <c r="L49" s="4"/>
      <c r="M49" s="4" t="s">
        <v>18</v>
      </c>
      <c r="N49" s="4">
        <v>205</v>
      </c>
      <c r="O49" s="3">
        <f>=B49*(N49*F49/10000)*J49</f>
      </c>
    </row>
    <row r="50" spans="1:15" x14ac:dyDescent="0.25">
      <c r="A50" s="2" t="s">
        <v>450</v>
      </c>
      <c r="B50" s="4">
        <v>1</v>
      </c>
      <c r="C50" s="4" t="s">
        <v>27</v>
      </c>
      <c r="D50" s="4"/>
      <c r="E50" s="4"/>
      <c r="F50" s="4">
        <v>16</v>
      </c>
      <c r="G50" s="4" t="s">
        <v>451</v>
      </c>
      <c r="H50" s="4"/>
      <c r="I50" s="4"/>
      <c r="J50" s="4">
        <v>4.58</v>
      </c>
      <c r="K50" s="4">
        <v>3</v>
      </c>
      <c r="L50" s="4"/>
      <c r="M50" s="4" t="s">
        <v>18</v>
      </c>
      <c r="N50" s="4">
        <v>205</v>
      </c>
      <c r="O50" s="3">
        <f>=B50*(N50*F50/10000)*J50</f>
      </c>
    </row>
    <row r="51" spans="1:15" x14ac:dyDescent="0.25">
      <c r="A51" s="2" t="s">
        <v>452</v>
      </c>
      <c r="B51" s="4">
        <v>1</v>
      </c>
      <c r="C51" s="4" t="s">
        <v>27</v>
      </c>
      <c r="D51" s="4"/>
      <c r="E51" s="4"/>
      <c r="F51" s="4">
        <v>29.5</v>
      </c>
      <c r="G51" s="4" t="s">
        <v>453</v>
      </c>
      <c r="H51" s="4"/>
      <c r="I51" s="4"/>
      <c r="J51" s="4">
        <v>4.58</v>
      </c>
      <c r="K51" s="4">
        <v>3</v>
      </c>
      <c r="L51" s="4"/>
      <c r="M51" s="4" t="s">
        <v>18</v>
      </c>
      <c r="N51" s="4">
        <v>205</v>
      </c>
      <c r="O51" s="3">
        <f>=B51*(N51*F51/10000)*J51</f>
      </c>
    </row>
    <row r="52" spans="1:15" x14ac:dyDescent="0.25">
      <c r="A52" s="2" t="s">
        <v>454</v>
      </c>
      <c r="B52" s="4">
        <v>1</v>
      </c>
      <c r="C52" s="4" t="s">
        <v>27</v>
      </c>
      <c r="D52" s="4"/>
      <c r="E52" s="4"/>
      <c r="F52" s="4">
        <v>218</v>
      </c>
      <c r="G52" s="4" t="s">
        <v>455</v>
      </c>
      <c r="H52" s="4"/>
      <c r="I52" s="4"/>
      <c r="J52" s="4">
        <v>4.58</v>
      </c>
      <c r="K52" s="4">
        <v>3</v>
      </c>
      <c r="L52" s="4"/>
      <c r="M52" s="4" t="s">
        <v>18</v>
      </c>
      <c r="N52" s="4">
        <v>11</v>
      </c>
      <c r="O52" s="3">
        <f>=B52*(N52*F52/10000)*J52</f>
      </c>
    </row>
    <row r="53" spans="1:15" x14ac:dyDescent="0.25">
      <c r="A53" s="2" t="s">
        <v>456</v>
      </c>
      <c r="B53" s="4">
        <v>1</v>
      </c>
      <c r="C53" s="4" t="s">
        <v>27</v>
      </c>
      <c r="D53" s="4"/>
      <c r="E53" s="4"/>
      <c r="F53" s="4">
        <v>28</v>
      </c>
      <c r="G53" s="4" t="s">
        <v>457</v>
      </c>
      <c r="H53" s="4"/>
      <c r="I53" s="4"/>
      <c r="J53" s="4">
        <v>4.58</v>
      </c>
      <c r="K53" s="4">
        <v>3</v>
      </c>
      <c r="L53" s="4"/>
      <c r="M53" s="4" t="s">
        <v>18</v>
      </c>
      <c r="N53" s="4">
        <v>300</v>
      </c>
      <c r="O53" s="3">
        <f>=B53*(N53*F53/10000)*J53</f>
      </c>
    </row>
    <row r="54" spans="1:15" x14ac:dyDescent="0.25">
      <c r="A54" s="2" t="s">
        <v>458</v>
      </c>
      <c r="B54" s="4">
        <v>1</v>
      </c>
      <c r="C54" s="4" t="s">
        <v>27</v>
      </c>
      <c r="D54" s="4"/>
      <c r="E54" s="4"/>
      <c r="F54" s="4">
        <v>36</v>
      </c>
      <c r="G54" s="4" t="s">
        <v>459</v>
      </c>
      <c r="H54" s="4"/>
      <c r="I54" s="4"/>
      <c r="J54" s="4">
        <v>4.58</v>
      </c>
      <c r="K54" s="4">
        <v>3</v>
      </c>
      <c r="L54" s="4"/>
      <c r="M54" s="4" t="s">
        <v>18</v>
      </c>
      <c r="N54" s="4">
        <v>110</v>
      </c>
      <c r="O54" s="3">
        <f>=B54*(N54*F54/10000)*J54</f>
      </c>
    </row>
    <row r="55" spans="1:15" x14ac:dyDescent="0.25">
      <c r="A55" s="2" t="s">
        <v>460</v>
      </c>
      <c r="B55" s="4">
        <v>1</v>
      </c>
      <c r="C55" s="4" t="s">
        <v>27</v>
      </c>
      <c r="D55" s="4"/>
      <c r="E55" s="4"/>
      <c r="F55" s="4">
        <v>180</v>
      </c>
      <c r="G55" s="4" t="s">
        <v>461</v>
      </c>
      <c r="H55" s="4"/>
      <c r="I55" s="4"/>
      <c r="J55" s="4">
        <v>4.58</v>
      </c>
      <c r="K55" s="4">
        <v>3</v>
      </c>
      <c r="L55" s="4"/>
      <c r="M55" s="4" t="s">
        <v>18</v>
      </c>
      <c r="N55" s="4">
        <v>34</v>
      </c>
      <c r="O55" s="3">
        <f>=B55*(N55*F55/10000)*J55</f>
      </c>
    </row>
    <row r="56" spans="1:15" x14ac:dyDescent="0.25">
      <c r="A56" s="2" t="s">
        <v>462</v>
      </c>
      <c r="B56" s="4">
        <v>1</v>
      </c>
      <c r="C56" s="4" t="s">
        <v>27</v>
      </c>
      <c r="D56" s="4"/>
      <c r="E56" s="4"/>
      <c r="F56" s="4">
        <v>17.5</v>
      </c>
      <c r="G56" s="4" t="s">
        <v>463</v>
      </c>
      <c r="H56" s="4"/>
      <c r="I56" s="4"/>
      <c r="J56" s="4">
        <v>4.58</v>
      </c>
      <c r="K56" s="4">
        <v>3</v>
      </c>
      <c r="L56" s="4"/>
      <c r="M56" s="4" t="s">
        <v>18</v>
      </c>
      <c r="N56" s="4">
        <v>257</v>
      </c>
      <c r="O56" s="3">
        <f>=B56*(N56*F56/10000)*J56</f>
      </c>
    </row>
    <row r="57" spans="1:15" x14ac:dyDescent="0.25">
      <c r="A57" s="2" t="s">
        <v>464</v>
      </c>
      <c r="B57" s="4">
        <v>3</v>
      </c>
      <c r="C57" s="4" t="s">
        <v>27</v>
      </c>
      <c r="D57" s="4"/>
      <c r="E57" s="4"/>
      <c r="F57" s="4">
        <v>15</v>
      </c>
      <c r="G57" s="4" t="s">
        <v>465</v>
      </c>
      <c r="H57" s="4"/>
      <c r="I57" s="4"/>
      <c r="J57" s="4">
        <v>4.58</v>
      </c>
      <c r="K57" s="4">
        <v>3</v>
      </c>
      <c r="L57" s="4"/>
      <c r="M57" s="4" t="s">
        <v>18</v>
      </c>
      <c r="N57" s="4">
        <v>293</v>
      </c>
      <c r="O57" s="3">
        <f>=B57*(N57*F57/10000)*J57</f>
      </c>
    </row>
    <row r="58" spans="1:15" x14ac:dyDescent="0.25">
      <c r="A58" s="2" t="s">
        <v>466</v>
      </c>
      <c r="B58" s="4">
        <v>3</v>
      </c>
      <c r="C58" s="4" t="s">
        <v>27</v>
      </c>
      <c r="D58" s="4"/>
      <c r="E58" s="4"/>
      <c r="F58" s="4">
        <v>18</v>
      </c>
      <c r="G58" s="4" t="s">
        <v>467</v>
      </c>
      <c r="H58" s="4"/>
      <c r="I58" s="4"/>
      <c r="J58" s="4">
        <v>4.58</v>
      </c>
      <c r="K58" s="4">
        <v>3</v>
      </c>
      <c r="L58" s="4"/>
      <c r="M58" s="4" t="s">
        <v>18</v>
      </c>
      <c r="N58" s="4">
        <v>295</v>
      </c>
      <c r="O58" s="3">
        <f>=B58*(N58*F58/10000)*J58</f>
      </c>
    </row>
    <row r="59" spans="1:15" x14ac:dyDescent="0.25">
      <c r="A59" s="2" t="s">
        <v>468</v>
      </c>
      <c r="B59" s="4">
        <v>1</v>
      </c>
      <c r="C59" s="4" t="s">
        <v>27</v>
      </c>
      <c r="D59" s="4"/>
      <c r="E59" s="4"/>
      <c r="F59" s="4">
        <v>34.9</v>
      </c>
      <c r="G59" s="4" t="s">
        <v>469</v>
      </c>
      <c r="H59" s="4"/>
      <c r="I59" s="4"/>
      <c r="J59" s="4">
        <v>4.58</v>
      </c>
      <c r="K59" s="4">
        <v>3</v>
      </c>
      <c r="L59" s="4"/>
      <c r="M59" s="4" t="s">
        <v>18</v>
      </c>
      <c r="N59" s="4">
        <v>27</v>
      </c>
      <c r="O59" s="3">
        <f>=B59*(N59*F59/10000)*J59</f>
      </c>
    </row>
    <row r="60" spans="1:15" x14ac:dyDescent="0.25">
      <c r="A60" s="2" t="s">
        <v>470</v>
      </c>
      <c r="B60" s="4">
        <v>1</v>
      </c>
      <c r="C60" s="4" t="s">
        <v>27</v>
      </c>
      <c r="D60" s="4"/>
      <c r="E60" s="4"/>
      <c r="F60" s="4">
        <v>29.9</v>
      </c>
      <c r="G60" s="4" t="s">
        <v>471</v>
      </c>
      <c r="H60" s="4"/>
      <c r="I60" s="4"/>
      <c r="J60" s="4">
        <v>4.58</v>
      </c>
      <c r="K60" s="4">
        <v>3</v>
      </c>
      <c r="L60" s="4"/>
      <c r="M60" s="4" t="s">
        <v>18</v>
      </c>
      <c r="N60" s="4">
        <v>27</v>
      </c>
      <c r="O60" s="3">
        <f>=B60*(N60*F60/10000)*J60</f>
      </c>
    </row>
    <row r="61" spans="1:15" x14ac:dyDescent="0.25">
      <c r="A61" s="2" t="s">
        <v>472</v>
      </c>
      <c r="B61" s="4">
        <v>2</v>
      </c>
      <c r="C61" s="4" t="s">
        <v>27</v>
      </c>
      <c r="D61" s="4"/>
      <c r="E61" s="4"/>
      <c r="F61" s="4">
        <v>25</v>
      </c>
      <c r="G61" s="4" t="s">
        <v>473</v>
      </c>
      <c r="H61" s="4"/>
      <c r="I61" s="4"/>
      <c r="J61" s="4">
        <v>4.58</v>
      </c>
      <c r="K61" s="4">
        <v>3</v>
      </c>
      <c r="L61" s="4"/>
      <c r="M61" s="4" t="s">
        <v>18</v>
      </c>
      <c r="N61" s="4">
        <v>31</v>
      </c>
      <c r="O61" s="3">
        <f>=B61*(N61*F61/10000)*J61</f>
      </c>
    </row>
    <row r="62" spans="1:15" x14ac:dyDescent="0.25">
      <c r="A62" s="2" t="s">
        <v>474</v>
      </c>
      <c r="B62" s="4">
        <v>2</v>
      </c>
      <c r="C62" s="4" t="s">
        <v>27</v>
      </c>
      <c r="D62" s="4"/>
      <c r="E62" s="4"/>
      <c r="F62" s="4">
        <v>273</v>
      </c>
      <c r="G62" s="4" t="s">
        <v>475</v>
      </c>
      <c r="H62" s="4"/>
      <c r="I62" s="4"/>
      <c r="J62" s="4">
        <v>4.58</v>
      </c>
      <c r="K62" s="4">
        <v>3</v>
      </c>
      <c r="L62" s="4"/>
      <c r="M62" s="4" t="s">
        <v>18</v>
      </c>
      <c r="N62" s="4">
        <v>28.5</v>
      </c>
      <c r="O62" s="3">
        <f>=B62*(N62*F62/10000)*J62</f>
      </c>
    </row>
    <row r="63" spans="1:15" x14ac:dyDescent="0.25">
      <c r="A63" s="2" t="s">
        <v>476</v>
      </c>
      <c r="B63" s="4">
        <v>7</v>
      </c>
      <c r="C63" s="4" t="s">
        <v>27</v>
      </c>
      <c r="D63" s="4"/>
      <c r="E63" s="4"/>
      <c r="F63" s="4">
        <v>29.7</v>
      </c>
      <c r="G63" s="4" t="s">
        <v>313</v>
      </c>
      <c r="H63" s="4"/>
      <c r="I63" s="4"/>
      <c r="J63" s="4">
        <v>4.58</v>
      </c>
      <c r="K63" s="4">
        <v>4</v>
      </c>
      <c r="L63" s="4"/>
      <c r="M63" s="4" t="s">
        <v>18</v>
      </c>
      <c r="N63" s="4">
        <v>21</v>
      </c>
      <c r="O63" s="3">
        <f>=B63*(N63*F63/10000)*J63</f>
      </c>
    </row>
    <row r="64" spans="1:15" x14ac:dyDescent="0.25">
      <c r="A64" s="2" t="s">
        <v>477</v>
      </c>
      <c r="B64" s="4">
        <v>3</v>
      </c>
      <c r="C64" s="4" t="s">
        <v>27</v>
      </c>
      <c r="D64" s="4"/>
      <c r="E64" s="4"/>
      <c r="F64" s="4">
        <v>13.5</v>
      </c>
      <c r="G64" s="4" t="s">
        <v>478</v>
      </c>
      <c r="H64" s="4"/>
      <c r="I64" s="4"/>
      <c r="J64" s="4">
        <v>4.58</v>
      </c>
      <c r="K64" s="4">
        <v>4</v>
      </c>
      <c r="L64" s="4"/>
      <c r="M64" s="4" t="s">
        <v>18</v>
      </c>
      <c r="N64" s="4">
        <v>32</v>
      </c>
      <c r="O64" s="3">
        <f>=B64*(N64*F64/10000)*J64</f>
      </c>
    </row>
    <row r="65" spans="1:15" x14ac:dyDescent="0.25">
      <c r="A65" s="2" t="s">
        <v>479</v>
      </c>
      <c r="B65" s="4">
        <v>1</v>
      </c>
      <c r="C65" s="4" t="s">
        <v>27</v>
      </c>
      <c r="D65" s="4"/>
      <c r="E65" s="4"/>
      <c r="F65" s="4">
        <v>30.1</v>
      </c>
      <c r="G65" s="4" t="s">
        <v>480</v>
      </c>
      <c r="H65" s="4"/>
      <c r="I65" s="4"/>
      <c r="J65" s="4">
        <v>4.58</v>
      </c>
      <c r="K65" s="4">
        <v>2</v>
      </c>
      <c r="L65" s="4"/>
      <c r="M65" s="4" t="s">
        <v>18</v>
      </c>
      <c r="N65" s="4">
        <v>21.8</v>
      </c>
      <c r="O65" s="3">
        <f>=B65*(N65*F65/10000)*J65</f>
      </c>
    </row>
    <row r="66" spans="1:15" x14ac:dyDescent="0.25">
      <c r="A66" s="2" t="s">
        <v>481</v>
      </c>
      <c r="B66" s="4">
        <v>1</v>
      </c>
      <c r="C66" s="4" t="s">
        <v>27</v>
      </c>
      <c r="D66" s="4"/>
      <c r="E66" s="4"/>
      <c r="F66" s="4">
        <v>29.6</v>
      </c>
      <c r="G66" s="4" t="s">
        <v>482</v>
      </c>
      <c r="H66" s="4"/>
      <c r="I66" s="4"/>
      <c r="J66" s="4">
        <v>4.58</v>
      </c>
      <c r="K66" s="4">
        <v>2</v>
      </c>
      <c r="L66" s="4"/>
      <c r="M66" s="4" t="s">
        <v>18</v>
      </c>
      <c r="N66" s="4">
        <v>21</v>
      </c>
      <c r="O66" s="3">
        <f>=B66*(N66*F66/10000)*J66</f>
      </c>
    </row>
    <row r="67" spans="1:15" x14ac:dyDescent="0.25">
      <c r="A67" s="2" t="s">
        <v>483</v>
      </c>
      <c r="B67" s="4">
        <v>1</v>
      </c>
      <c r="C67" s="4" t="s">
        <v>27</v>
      </c>
      <c r="D67" s="4"/>
      <c r="E67" s="4"/>
      <c r="F67" s="4">
        <v>150</v>
      </c>
      <c r="G67" s="4" t="s">
        <v>484</v>
      </c>
      <c r="H67" s="4"/>
      <c r="I67" s="4"/>
      <c r="J67" s="4">
        <v>4.58</v>
      </c>
      <c r="K67" s="4">
        <v>3</v>
      </c>
      <c r="L67" s="4"/>
      <c r="M67" s="4" t="s">
        <v>18</v>
      </c>
      <c r="N67" s="4">
        <v>150</v>
      </c>
      <c r="O67" s="3">
        <f>=B67*(N67*F67/10000)*J67</f>
      </c>
    </row>
    <row r="68" spans="1:15" x14ac:dyDescent="0.25">
      <c r="A68" s="2" t="s">
        <v>485</v>
      </c>
      <c r="B68" s="4">
        <v>1</v>
      </c>
      <c r="C68" s="4" t="s">
        <v>27</v>
      </c>
      <c r="D68" s="4"/>
      <c r="E68" s="4"/>
      <c r="F68" s="4">
        <v>19.5</v>
      </c>
      <c r="G68" s="4" t="s">
        <v>486</v>
      </c>
      <c r="H68" s="4"/>
      <c r="I68" s="4"/>
      <c r="J68" s="4">
        <v>4.58</v>
      </c>
      <c r="K68" s="4">
        <v>3</v>
      </c>
      <c r="L68" s="4"/>
      <c r="M68" s="4" t="s">
        <v>18</v>
      </c>
      <c r="N68" s="4">
        <v>100</v>
      </c>
      <c r="O68" s="3">
        <f>=B68*(N68*F68/10000)*J68</f>
      </c>
    </row>
    <row r="69" spans="1:15" x14ac:dyDescent="0.25">
      <c r="A69" s="2" t="s">
        <v>487</v>
      </c>
      <c r="B69" s="4">
        <v>1</v>
      </c>
      <c r="C69" s="4" t="s">
        <v>27</v>
      </c>
      <c r="D69" s="4"/>
      <c r="E69" s="4"/>
      <c r="F69" s="4">
        <v>40</v>
      </c>
      <c r="G69" s="4" t="s">
        <v>488</v>
      </c>
      <c r="H69" s="4"/>
      <c r="I69" s="4"/>
      <c r="J69" s="4">
        <v>4.58</v>
      </c>
      <c r="K69" s="4">
        <v>3</v>
      </c>
      <c r="L69" s="4"/>
      <c r="M69" s="4" t="s">
        <v>18</v>
      </c>
      <c r="N69" s="4">
        <v>54.5</v>
      </c>
      <c r="O69" s="3">
        <f>=B69*(N69*F69/10000)*J69</f>
      </c>
    </row>
    <row r="70" spans="1:15" x14ac:dyDescent="0.25">
      <c r="A70" s="2" t="s">
        <v>489</v>
      </c>
      <c r="B70" s="4">
        <v>1</v>
      </c>
      <c r="C70" s="4" t="s">
        <v>27</v>
      </c>
      <c r="D70" s="4"/>
      <c r="E70" s="4"/>
      <c r="F70" s="4">
        <v>100</v>
      </c>
      <c r="G70" s="4" t="s">
        <v>490</v>
      </c>
      <c r="H70" s="4"/>
      <c r="I70" s="4"/>
      <c r="J70" s="4">
        <v>4.58</v>
      </c>
      <c r="K70" s="4">
        <v>3</v>
      </c>
      <c r="L70" s="4"/>
      <c r="M70" s="4" t="s">
        <v>18</v>
      </c>
      <c r="N70" s="4">
        <v>125</v>
      </c>
      <c r="O70" s="3">
        <f>=B70*(N70*F70/10000)*J70</f>
      </c>
    </row>
    <row r="71" spans="1:15" x14ac:dyDescent="0.25">
      <c r="A71" s="2" t="s">
        <v>491</v>
      </c>
      <c r="B71" s="4">
        <v>1</v>
      </c>
      <c r="C71" s="4" t="s">
        <v>27</v>
      </c>
      <c r="D71" s="4"/>
      <c r="E71" s="4"/>
      <c r="F71" s="4">
        <v>45</v>
      </c>
      <c r="G71" s="4" t="s">
        <v>492</v>
      </c>
      <c r="H71" s="4"/>
      <c r="I71" s="4"/>
      <c r="J71" s="4">
        <v>4.58</v>
      </c>
      <c r="K71" s="4">
        <v>3</v>
      </c>
      <c r="L71" s="4"/>
      <c r="M71" s="4" t="s">
        <v>18</v>
      </c>
      <c r="N71" s="4">
        <v>37</v>
      </c>
      <c r="O71" s="3">
        <f>=B71*(N71*F71/10000)*J71</f>
      </c>
    </row>
    <row r="72" spans="1:15" x14ac:dyDescent="0.25">
      <c r="A72" s="2" t="s">
        <v>493</v>
      </c>
      <c r="B72" s="4">
        <v>1</v>
      </c>
      <c r="C72" s="4" t="s">
        <v>27</v>
      </c>
      <c r="D72" s="4"/>
      <c r="E72" s="4"/>
      <c r="F72" s="4">
        <v>250</v>
      </c>
      <c r="G72" s="4" t="s">
        <v>494</v>
      </c>
      <c r="H72" s="4"/>
      <c r="I72" s="4"/>
      <c r="J72" s="4">
        <v>4.58</v>
      </c>
      <c r="K72" s="4">
        <v>3</v>
      </c>
      <c r="L72" s="4"/>
      <c r="M72" s="4" t="s">
        <v>18</v>
      </c>
      <c r="N72" s="4">
        <v>12.5</v>
      </c>
      <c r="O72" s="3">
        <f>=B72*(N72*F72/10000)*J72</f>
      </c>
    </row>
    <row r="73" spans="1:15" x14ac:dyDescent="0.25">
      <c r="A73" s="2" t="s">
        <v>495</v>
      </c>
      <c r="B73" s="4">
        <v>1</v>
      </c>
      <c r="C73" s="4" t="s">
        <v>27</v>
      </c>
      <c r="D73" s="4"/>
      <c r="E73" s="4"/>
      <c r="F73" s="4">
        <v>100</v>
      </c>
      <c r="G73" s="4" t="s">
        <v>496</v>
      </c>
      <c r="H73" s="4"/>
      <c r="I73" s="4"/>
      <c r="J73" s="4">
        <v>4.58</v>
      </c>
      <c r="K73" s="4">
        <v>2</v>
      </c>
      <c r="L73" s="4"/>
      <c r="M73" s="4" t="s">
        <v>18</v>
      </c>
      <c r="N73" s="4">
        <v>57.5</v>
      </c>
      <c r="O73" s="3">
        <f>=B73*(N73*F73/10000)*J73</f>
      </c>
    </row>
    <row r="74" spans="1:15" x14ac:dyDescent="0.25">
      <c r="A74" s="2" t="s">
        <v>497</v>
      </c>
      <c r="B74" s="4">
        <v>1</v>
      </c>
      <c r="C74" s="4" t="s">
        <v>27</v>
      </c>
      <c r="D74" s="4"/>
      <c r="E74" s="4"/>
      <c r="F74" s="4">
        <v>132</v>
      </c>
      <c r="G74" s="4" t="s">
        <v>498</v>
      </c>
      <c r="H74" s="4"/>
      <c r="I74" s="4"/>
      <c r="J74" s="4">
        <v>4.58</v>
      </c>
      <c r="K74" s="4">
        <v>3</v>
      </c>
      <c r="L74" s="4"/>
      <c r="M74" s="4" t="s">
        <v>18</v>
      </c>
      <c r="N74" s="4">
        <v>100</v>
      </c>
      <c r="O74" s="3">
        <f>=B74*(N74*F74/10000)*J74</f>
      </c>
    </row>
    <row r="75" spans="1:15" x14ac:dyDescent="0.25">
      <c r="A75" s="2" t="s">
        <v>499</v>
      </c>
      <c r="B75" s="4">
        <v>1</v>
      </c>
      <c r="C75" s="4" t="s">
        <v>27</v>
      </c>
      <c r="D75" s="4"/>
      <c r="E75" s="4"/>
      <c r="F75" s="4">
        <v>19.5</v>
      </c>
      <c r="G75" s="4" t="s">
        <v>500</v>
      </c>
      <c r="H75" s="4"/>
      <c r="I75" s="4"/>
      <c r="J75" s="4">
        <v>4.58</v>
      </c>
      <c r="K75" s="4">
        <v>3</v>
      </c>
      <c r="L75" s="4"/>
      <c r="M75" s="4" t="s">
        <v>18</v>
      </c>
      <c r="N75" s="4">
        <v>60</v>
      </c>
      <c r="O75" s="3">
        <f>=B75*(N75*F75/10000)*J75</f>
      </c>
    </row>
    <row r="76" spans="1:15" x14ac:dyDescent="0.25">
      <c r="A76" s="2" t="s">
        <v>501</v>
      </c>
      <c r="B76" s="4">
        <v>1</v>
      </c>
      <c r="C76" s="4" t="s">
        <v>27</v>
      </c>
      <c r="D76" s="4"/>
      <c r="E76" s="4"/>
      <c r="F76" s="4">
        <v>40</v>
      </c>
      <c r="G76" s="4" t="s">
        <v>502</v>
      </c>
      <c r="H76" s="4"/>
      <c r="I76" s="4"/>
      <c r="J76" s="4">
        <v>4.58</v>
      </c>
      <c r="K76" s="4">
        <v>3</v>
      </c>
      <c r="L76" s="4"/>
      <c r="M76" s="4" t="s">
        <v>18</v>
      </c>
      <c r="N76" s="4">
        <v>92</v>
      </c>
      <c r="O76" s="3">
        <f>=B76*(N76*F76/10000)*J76</f>
      </c>
    </row>
    <row r="77" spans="1:15" x14ac:dyDescent="0.25">
      <c r="A77" s="2" t="s">
        <v>503</v>
      </c>
      <c r="B77" s="4">
        <v>1</v>
      </c>
      <c r="C77" s="4" t="s">
        <v>27</v>
      </c>
      <c r="D77" s="4"/>
      <c r="E77" s="4"/>
      <c r="F77" s="4">
        <v>57.5</v>
      </c>
      <c r="G77" s="4" t="s">
        <v>504</v>
      </c>
      <c r="H77" s="4"/>
      <c r="I77" s="4"/>
      <c r="J77" s="4">
        <v>4.58</v>
      </c>
      <c r="K77" s="4">
        <v>3</v>
      </c>
      <c r="L77" s="4"/>
      <c r="M77" s="4" t="s">
        <v>18</v>
      </c>
      <c r="N77" s="4">
        <v>59.5</v>
      </c>
      <c r="O77" s="3">
        <f>=B77*(N77*F77/10000)*J77</f>
      </c>
    </row>
    <row r="78" spans="1:15" x14ac:dyDescent="0.25">
      <c r="A78" s="2" t="s">
        <v>505</v>
      </c>
      <c r="B78" s="4">
        <v>0</v>
      </c>
      <c r="C78" s="4" t="s">
        <v>27</v>
      </c>
      <c r="D78" s="4"/>
      <c r="E78" s="4"/>
      <c r="F78" s="4">
        <v>37</v>
      </c>
      <c r="G78" s="4" t="s">
        <v>506</v>
      </c>
      <c r="H78" s="4"/>
      <c r="I78" s="4"/>
      <c r="J78" s="4">
        <v>4.58</v>
      </c>
      <c r="K78" s="4">
        <v>3</v>
      </c>
      <c r="L78" s="4"/>
      <c r="M78" s="4" t="s">
        <v>18</v>
      </c>
      <c r="N78" s="4">
        <v>45</v>
      </c>
      <c r="O78" s="3">
        <f>=B78*(N78*F78/10000)*J78</f>
      </c>
    </row>
    <row r="79" spans="1:15" x14ac:dyDescent="0.25">
      <c r="A79" s="2" t="s">
        <v>507</v>
      </c>
      <c r="B79" s="4">
        <v>1</v>
      </c>
      <c r="C79" s="4" t="s">
        <v>27</v>
      </c>
      <c r="D79" s="4"/>
      <c r="E79" s="4"/>
      <c r="F79" s="4">
        <v>23.5</v>
      </c>
      <c r="G79" s="4" t="s">
        <v>508</v>
      </c>
      <c r="H79" s="4"/>
      <c r="I79" s="4"/>
      <c r="J79" s="4">
        <v>4.58</v>
      </c>
      <c r="K79" s="4">
        <v>3</v>
      </c>
      <c r="L79" s="4"/>
      <c r="M79" s="4" t="s">
        <v>18</v>
      </c>
      <c r="N79" s="4">
        <v>58.5</v>
      </c>
      <c r="O79" s="3">
        <f>=B79*(N79*F79/10000)*J79</f>
      </c>
    </row>
    <row r="80" spans="1:15" x14ac:dyDescent="0.25">
      <c r="A80" s="2" t="s">
        <v>509</v>
      </c>
      <c r="B80" s="4">
        <v>6</v>
      </c>
      <c r="C80" s="4" t="s">
        <v>27</v>
      </c>
      <c r="D80" s="4"/>
      <c r="E80" s="4"/>
      <c r="F80" s="4">
        <v>10</v>
      </c>
      <c r="G80" s="4" t="s">
        <v>510</v>
      </c>
      <c r="H80" s="4"/>
      <c r="I80" s="4"/>
      <c r="J80" s="4">
        <v>4.58</v>
      </c>
      <c r="K80" s="4">
        <v>3</v>
      </c>
      <c r="L80" s="4"/>
      <c r="M80" s="4" t="s">
        <v>18</v>
      </c>
      <c r="N80" s="4">
        <v>15</v>
      </c>
      <c r="O80" s="3">
        <f>=B80*(N80*F80/10000)*J80</f>
      </c>
    </row>
    <row r="81" spans="1:15" x14ac:dyDescent="0.25">
      <c r="A81" s="2" t="s">
        <v>511</v>
      </c>
      <c r="B81" s="4">
        <v>4</v>
      </c>
      <c r="C81" s="4" t="s">
        <v>27</v>
      </c>
      <c r="D81" s="4"/>
      <c r="E81" s="4"/>
      <c r="F81" s="4">
        <v>43</v>
      </c>
      <c r="G81" s="4" t="s">
        <v>512</v>
      </c>
      <c r="H81" s="4"/>
      <c r="I81" s="4"/>
      <c r="J81" s="4">
        <v>4.58</v>
      </c>
      <c r="K81" s="4">
        <v>3</v>
      </c>
      <c r="L81" s="4"/>
      <c r="M81" s="4" t="s">
        <v>18</v>
      </c>
      <c r="N81" s="4">
        <v>120</v>
      </c>
      <c r="O81" s="3">
        <f>=B81*(N81*F81/10000)*J81</f>
      </c>
    </row>
    <row r="82" spans="1:15" x14ac:dyDescent="0.25">
      <c r="A82" s="2" t="s">
        <v>513</v>
      </c>
      <c r="B82" s="4">
        <v>1</v>
      </c>
      <c r="C82" s="4" t="s">
        <v>27</v>
      </c>
      <c r="D82" s="4"/>
      <c r="E82" s="4"/>
      <c r="F82" s="4">
        <v>15</v>
      </c>
      <c r="G82" s="4" t="s">
        <v>514</v>
      </c>
      <c r="H82" s="4"/>
      <c r="I82" s="4"/>
      <c r="J82" s="4">
        <v>4.58</v>
      </c>
      <c r="K82" s="4">
        <v>3</v>
      </c>
      <c r="L82" s="4"/>
      <c r="M82" s="4" t="s">
        <v>18</v>
      </c>
      <c r="N82" s="4">
        <v>45</v>
      </c>
      <c r="O82" s="3">
        <f>=B82*(N82*F82/10000)*J82</f>
      </c>
    </row>
    <row r="83" spans="1:15" x14ac:dyDescent="0.25">
      <c r="A83" s="2" t="s">
        <v>515</v>
      </c>
      <c r="B83" s="4">
        <v>3</v>
      </c>
      <c r="C83" s="4" t="s">
        <v>27</v>
      </c>
      <c r="D83" s="4"/>
      <c r="E83" s="4"/>
      <c r="F83" s="4">
        <v>20</v>
      </c>
      <c r="G83" s="4" t="s">
        <v>516</v>
      </c>
      <c r="H83" s="4"/>
      <c r="I83" s="4"/>
      <c r="J83" s="4">
        <v>4.58</v>
      </c>
      <c r="K83" s="4">
        <v>3</v>
      </c>
      <c r="L83" s="4"/>
      <c r="M83" s="4" t="s">
        <v>18</v>
      </c>
      <c r="N83" s="4">
        <v>45</v>
      </c>
      <c r="O83" s="3">
        <f>=B83*(N83*F83/10000)*J83</f>
      </c>
    </row>
    <row r="84" spans="1:15" x14ac:dyDescent="0.25">
      <c r="A84" s="2" t="s">
        <v>517</v>
      </c>
      <c r="B84" s="4">
        <v>1</v>
      </c>
      <c r="C84" s="4" t="s">
        <v>27</v>
      </c>
      <c r="D84" s="4"/>
      <c r="E84" s="4"/>
      <c r="F84" s="4">
        <v>52.5</v>
      </c>
      <c r="G84" s="4" t="s">
        <v>518</v>
      </c>
      <c r="H84" s="4"/>
      <c r="I84" s="4"/>
      <c r="J84" s="4">
        <v>4.58</v>
      </c>
      <c r="K84" s="4">
        <v>3</v>
      </c>
      <c r="L84" s="4"/>
      <c r="M84" s="4" t="s">
        <v>18</v>
      </c>
      <c r="N84" s="4">
        <v>200</v>
      </c>
      <c r="O84" s="3">
        <f>=B84*(N84*F84/10000)*J84</f>
      </c>
    </row>
    <row r="85" spans="1:15" x14ac:dyDescent="0.25">
      <c r="A85" s="2" t="s">
        <v>519</v>
      </c>
      <c r="B85" s="4">
        <v>1</v>
      </c>
      <c r="C85" s="4" t="s">
        <v>27</v>
      </c>
      <c r="D85" s="4"/>
      <c r="E85" s="4"/>
      <c r="F85" s="4">
        <v>22.5</v>
      </c>
      <c r="G85" s="4" t="s">
        <v>520</v>
      </c>
      <c r="H85" s="4"/>
      <c r="I85" s="4"/>
      <c r="J85" s="4">
        <v>4.58</v>
      </c>
      <c r="K85" s="4">
        <v>3</v>
      </c>
      <c r="L85" s="4"/>
      <c r="M85" s="4" t="s">
        <v>18</v>
      </c>
      <c r="N85" s="4">
        <v>300</v>
      </c>
      <c r="O85" s="3">
        <f>=B85*(N85*F85/10000)*J85</f>
      </c>
    </row>
    <row r="86" spans="1:15" x14ac:dyDescent="0.25">
      <c r="A86" s="2" t="s">
        <v>521</v>
      </c>
      <c r="B86" s="4">
        <v>1</v>
      </c>
      <c r="C86" s="4" t="s">
        <v>27</v>
      </c>
      <c r="D86" s="4"/>
      <c r="E86" s="4"/>
      <c r="F86" s="4">
        <v>35.5</v>
      </c>
      <c r="G86" s="4" t="s">
        <v>522</v>
      </c>
      <c r="H86" s="4"/>
      <c r="I86" s="4"/>
      <c r="J86" s="4">
        <v>4.58</v>
      </c>
      <c r="K86" s="4">
        <v>3</v>
      </c>
      <c r="L86" s="4"/>
      <c r="M86" s="4" t="s">
        <v>18</v>
      </c>
      <c r="N86" s="4">
        <v>100</v>
      </c>
      <c r="O86" s="3">
        <f>=B86*(N86*F86/10000)*J86</f>
      </c>
    </row>
    <row r="87" spans="1:15" x14ac:dyDescent="0.25">
      <c r="A87" s="2" t="s">
        <v>523</v>
      </c>
      <c r="B87" s="4">
        <v>1</v>
      </c>
      <c r="C87" s="4" t="s">
        <v>27</v>
      </c>
      <c r="D87" s="4"/>
      <c r="E87" s="4"/>
      <c r="F87" s="4">
        <v>42</v>
      </c>
      <c r="G87" s="4" t="s">
        <v>524</v>
      </c>
      <c r="H87" s="4"/>
      <c r="I87" s="4"/>
      <c r="J87" s="4">
        <v>4.58</v>
      </c>
      <c r="K87" s="4">
        <v>3</v>
      </c>
      <c r="L87" s="4"/>
      <c r="M87" s="4" t="s">
        <v>18</v>
      </c>
      <c r="N87" s="4">
        <v>60</v>
      </c>
      <c r="O87" s="3">
        <f>=B87*(N87*F87/10000)*J87</f>
      </c>
    </row>
    <row r="88" spans="1:15" x14ac:dyDescent="0.25">
      <c r="A88" s="2" t="s">
        <v>525</v>
      </c>
      <c r="B88" s="4">
        <v>1</v>
      </c>
      <c r="C88" s="4" t="s">
        <v>27</v>
      </c>
      <c r="D88" s="4"/>
      <c r="E88" s="4"/>
      <c r="F88" s="4">
        <v>35.5</v>
      </c>
      <c r="G88" s="4" t="s">
        <v>526</v>
      </c>
      <c r="H88" s="4"/>
      <c r="I88" s="4"/>
      <c r="J88" s="4">
        <v>4.58</v>
      </c>
      <c r="K88" s="4">
        <v>3</v>
      </c>
      <c r="L88" s="4"/>
      <c r="M88" s="4" t="s">
        <v>18</v>
      </c>
      <c r="N88" s="4">
        <v>162</v>
      </c>
      <c r="O88" s="3">
        <f>=B88*(N88*F88/10000)*J88</f>
      </c>
    </row>
    <row r="89" spans="1:15" x14ac:dyDescent="0.25">
      <c r="A89" s="2" t="s">
        <v>527</v>
      </c>
      <c r="B89" s="4">
        <v>1</v>
      </c>
      <c r="C89" s="4" t="s">
        <v>27</v>
      </c>
      <c r="D89" s="4"/>
      <c r="E89" s="4"/>
      <c r="F89" s="4">
        <v>18</v>
      </c>
      <c r="G89" s="4" t="s">
        <v>528</v>
      </c>
      <c r="H89" s="4"/>
      <c r="I89" s="4"/>
      <c r="J89" s="4">
        <v>4.58</v>
      </c>
      <c r="K89" s="4">
        <v>3</v>
      </c>
      <c r="L89" s="4"/>
      <c r="M89" s="4" t="s">
        <v>18</v>
      </c>
      <c r="N89" s="4">
        <v>405</v>
      </c>
      <c r="O89" s="3">
        <f>=B89*(N89*F89/10000)*J89</f>
      </c>
    </row>
    <row r="90" spans="1:15" x14ac:dyDescent="0.25">
      <c r="A90" s="2" t="s">
        <v>529</v>
      </c>
      <c r="B90" s="4">
        <v>1</v>
      </c>
      <c r="C90" s="4" t="s">
        <v>27</v>
      </c>
      <c r="D90" s="4"/>
      <c r="E90" s="4"/>
      <c r="F90" s="4">
        <v>100</v>
      </c>
      <c r="G90" s="4" t="s">
        <v>530</v>
      </c>
      <c r="H90" s="4"/>
      <c r="I90" s="4"/>
      <c r="J90" s="4">
        <v>4.58</v>
      </c>
      <c r="K90" s="4">
        <v>3</v>
      </c>
      <c r="L90" s="4"/>
      <c r="M90" s="4" t="s">
        <v>18</v>
      </c>
      <c r="N90" s="4">
        <v>150</v>
      </c>
      <c r="O90" s="3">
        <f>=B90*(N90*F90/10000)*J90</f>
      </c>
    </row>
    <row r="91" spans="1:15" x14ac:dyDescent="0.25">
      <c r="A91" s="2" t="s">
        <v>531</v>
      </c>
      <c r="B91" s="4">
        <v>2</v>
      </c>
      <c r="C91" s="4" t="s">
        <v>27</v>
      </c>
      <c r="D91" s="4"/>
      <c r="E91" s="4"/>
      <c r="F91" s="4">
        <v>21</v>
      </c>
      <c r="G91" s="4" t="s">
        <v>532</v>
      </c>
      <c r="H91" s="4"/>
      <c r="I91" s="4"/>
      <c r="J91" s="4">
        <v>4.58</v>
      </c>
      <c r="K91" s="4">
        <v>3</v>
      </c>
      <c r="L91" s="4"/>
      <c r="M91" s="4" t="s">
        <v>18</v>
      </c>
      <c r="N91" s="4">
        <v>29</v>
      </c>
      <c r="O91" s="3">
        <f>=B91*(N91*F91/10000)*J91</f>
      </c>
    </row>
    <row r="92" spans="1:15" x14ac:dyDescent="0.25">
      <c r="A92" s="2" t="s">
        <v>533</v>
      </c>
      <c r="B92" s="4">
        <v>1</v>
      </c>
      <c r="C92" s="4" t="s">
        <v>27</v>
      </c>
      <c r="D92" s="4"/>
      <c r="E92" s="4"/>
      <c r="F92" s="4">
        <v>47</v>
      </c>
      <c r="G92" s="4" t="s">
        <v>534</v>
      </c>
      <c r="H92" s="4"/>
      <c r="I92" s="4"/>
      <c r="J92" s="4">
        <v>4.58</v>
      </c>
      <c r="K92" s="4">
        <v>3</v>
      </c>
      <c r="L92" s="4"/>
      <c r="M92" s="4" t="s">
        <v>18</v>
      </c>
      <c r="N92" s="4">
        <v>125</v>
      </c>
      <c r="O92" s="3">
        <f>=B92*(N92*F92/10000)*J92</f>
      </c>
    </row>
    <row r="93" spans="1:15" x14ac:dyDescent="0.25">
      <c r="A93" s="2" t="s">
        <v>535</v>
      </c>
      <c r="B93" s="4">
        <v>1</v>
      </c>
      <c r="C93" s="4" t="s">
        <v>27</v>
      </c>
      <c r="D93" s="4"/>
      <c r="E93" s="4"/>
      <c r="F93" s="4">
        <v>120</v>
      </c>
      <c r="G93" s="4" t="s">
        <v>536</v>
      </c>
      <c r="H93" s="4"/>
      <c r="I93" s="4"/>
      <c r="J93" s="4">
        <v>4.58</v>
      </c>
      <c r="K93" s="4">
        <v>3</v>
      </c>
      <c r="L93" s="4"/>
      <c r="M93" s="4" t="s">
        <v>18</v>
      </c>
      <c r="N93" s="4">
        <v>180</v>
      </c>
      <c r="O93" s="3">
        <f>=B93*(N93*F93/10000)*J93</f>
      </c>
    </row>
    <row r="94" spans="1:15" x14ac:dyDescent="0.25">
      <c r="A94" s="2" t="s">
        <v>537</v>
      </c>
      <c r="B94" s="4">
        <v>1</v>
      </c>
      <c r="C94" s="4" t="s">
        <v>27</v>
      </c>
      <c r="D94" s="4"/>
      <c r="E94" s="4"/>
      <c r="F94" s="4">
        <v>115</v>
      </c>
      <c r="G94" s="4" t="s">
        <v>538</v>
      </c>
      <c r="H94" s="4"/>
      <c r="I94" s="4"/>
      <c r="J94" s="4">
        <v>4.58</v>
      </c>
      <c r="K94" s="4">
        <v>3</v>
      </c>
      <c r="L94" s="4"/>
      <c r="M94" s="4" t="s">
        <v>18</v>
      </c>
      <c r="N94" s="4">
        <v>200</v>
      </c>
      <c r="O94" s="3">
        <f>=B94*(N94*F94/10000)*J94</f>
      </c>
    </row>
    <row r="95" spans="1:15" x14ac:dyDescent="0.25">
      <c r="A95" s="2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5" t="s">
        <v>25</v>
      </c>
      <c r="O95" s="6">
        <f>=SUM(O2:O94)</f>
      </c>
    </row>
  </sheetData>
  <sheetProtection sheet="1" algorithmName="SHA-512" hashValue="Y5+nh7OeiJid+lWNAIAhoJaGwIQsrffSX6i4LHgThi1FwxaELemHq0w9/XFoh5PGIc0y3ROdtLfYSGWBRKbuJQ==" saltValue="kiA3qe7KO1JIW5fOXC5ej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2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539</v>
      </c>
      <c r="B2" s="4">
        <v>1</v>
      </c>
      <c r="C2" s="4" t="s">
        <v>27</v>
      </c>
      <c r="D2" s="4"/>
      <c r="E2" s="4"/>
      <c r="F2" s="4">
        <v>200</v>
      </c>
      <c r="G2" s="4" t="s">
        <v>540</v>
      </c>
      <c r="H2" s="4"/>
      <c r="I2" s="4"/>
      <c r="J2" s="4">
        <v>12.5</v>
      </c>
      <c r="K2" s="4"/>
      <c r="L2" s="4"/>
      <c r="M2" s="4" t="s">
        <v>18</v>
      </c>
      <c r="N2" s="4">
        <v>60</v>
      </c>
      <c r="O2" s="3">
        <f>=B2*(N2*F2/10000)*J2</f>
      </c>
    </row>
    <row r="3" spans="1:15" x14ac:dyDescent="0.25">
      <c r="A3" s="2" t="s">
        <v>541</v>
      </c>
      <c r="B3" s="4">
        <v>1</v>
      </c>
      <c r="C3" s="4" t="s">
        <v>27</v>
      </c>
      <c r="D3" s="4"/>
      <c r="E3" s="4"/>
      <c r="F3" s="4">
        <v>30.5</v>
      </c>
      <c r="G3" s="4" t="s">
        <v>542</v>
      </c>
      <c r="H3" s="4"/>
      <c r="I3" s="4"/>
      <c r="J3" s="4">
        <v>12.5</v>
      </c>
      <c r="K3" s="4"/>
      <c r="L3" s="4"/>
      <c r="M3" s="4" t="s">
        <v>18</v>
      </c>
      <c r="N3" s="4">
        <v>200</v>
      </c>
      <c r="O3" s="3">
        <f>=B3*(N3*F3/10000)*J3</f>
      </c>
    </row>
    <row r="4" spans="1:15" x14ac:dyDescent="0.25">
      <c r="A4" s="2" t="s">
        <v>543</v>
      </c>
      <c r="B4" s="4">
        <v>1</v>
      </c>
      <c r="C4" s="4" t="s">
        <v>27</v>
      </c>
      <c r="D4" s="4"/>
      <c r="E4" s="4"/>
      <c r="F4" s="4">
        <v>45</v>
      </c>
      <c r="G4" s="4" t="s">
        <v>544</v>
      </c>
      <c r="H4" s="4"/>
      <c r="I4" s="4"/>
      <c r="J4" s="4">
        <v>12.5</v>
      </c>
      <c r="K4" s="4"/>
      <c r="L4" s="4"/>
      <c r="M4" s="4" t="s">
        <v>18</v>
      </c>
      <c r="N4" s="4">
        <v>65</v>
      </c>
      <c r="O4" s="3">
        <f>=B4*(N4*F4/10000)*J4</f>
      </c>
    </row>
    <row r="5" spans="1:15" x14ac:dyDescent="0.25">
      <c r="A5" s="2" t="s">
        <v>545</v>
      </c>
      <c r="B5" s="4">
        <v>6</v>
      </c>
      <c r="C5" s="4" t="s">
        <v>27</v>
      </c>
      <c r="D5" s="4"/>
      <c r="E5" s="4"/>
      <c r="F5" s="4">
        <v>45</v>
      </c>
      <c r="G5" s="4" t="s">
        <v>546</v>
      </c>
      <c r="H5" s="4"/>
      <c r="I5" s="4"/>
      <c r="J5" s="4">
        <v>12.5</v>
      </c>
      <c r="K5" s="4"/>
      <c r="L5" s="4"/>
      <c r="M5" s="4" t="s">
        <v>18</v>
      </c>
      <c r="N5" s="4">
        <v>125</v>
      </c>
      <c r="O5" s="3">
        <f>=B5*(N5*F5/10000)*J5</f>
      </c>
    </row>
    <row r="6" spans="1:15" x14ac:dyDescent="0.25">
      <c r="A6" s="2" t="s">
        <v>547</v>
      </c>
      <c r="B6" s="4">
        <v>0</v>
      </c>
      <c r="C6" s="4" t="s">
        <v>27</v>
      </c>
      <c r="D6" s="4"/>
      <c r="E6" s="4"/>
      <c r="F6" s="4">
        <v>250</v>
      </c>
      <c r="G6" s="4" t="s">
        <v>548</v>
      </c>
      <c r="H6" s="4"/>
      <c r="I6" s="4"/>
      <c r="J6" s="4">
        <v>12.5</v>
      </c>
      <c r="K6" s="4">
        <v>8</v>
      </c>
      <c r="L6" s="4"/>
      <c r="M6" s="4" t="s">
        <v>18</v>
      </c>
      <c r="N6" s="4">
        <v>100</v>
      </c>
      <c r="O6" s="3">
        <f>=B6*(N6*F6/10000)*J6</f>
      </c>
    </row>
    <row r="7" spans="1:15" x14ac:dyDescent="0.25">
      <c r="A7" s="2" t="s">
        <v>549</v>
      </c>
      <c r="B7" s="4">
        <v>2</v>
      </c>
      <c r="C7" s="4" t="s">
        <v>27</v>
      </c>
      <c r="D7" s="4"/>
      <c r="E7" s="4"/>
      <c r="F7" s="4">
        <v>50</v>
      </c>
      <c r="G7" s="4" t="s">
        <v>550</v>
      </c>
      <c r="H7" s="4"/>
      <c r="I7" s="4"/>
      <c r="J7" s="4">
        <v>12.5</v>
      </c>
      <c r="K7" s="4">
        <v>3</v>
      </c>
      <c r="L7" s="4"/>
      <c r="M7" s="4" t="s">
        <v>18</v>
      </c>
      <c r="N7" s="4">
        <v>70</v>
      </c>
      <c r="O7" s="3">
        <f>=B7*(N7*F7/10000)*J7</f>
      </c>
    </row>
    <row r="8" spans="1:15" x14ac:dyDescent="0.25">
      <c r="A8" s="2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 t="s">
        <v>25</v>
      </c>
      <c r="O8" s="6">
        <f>=SUM(O2:O7)</f>
      </c>
    </row>
  </sheetData>
  <sheetProtection sheet="1" algorithmName="SHA-512" hashValue="eqT/fdE6tbKw9d5lwEvNOpvxyioyh9wmE+WdLtA5uFSUnjt7PYTWq8XTxR04BZ2AtzDeEUQ2/spNuULWwUsavQ==" saltValue="sWzrUEl1RymAfjwUCcNE6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551</v>
      </c>
      <c r="B2" s="4">
        <v>1</v>
      </c>
      <c r="C2" s="4" t="s">
        <v>27</v>
      </c>
      <c r="D2" s="4"/>
      <c r="E2" s="4"/>
      <c r="F2" s="4">
        <v>87</v>
      </c>
      <c r="G2" s="4" t="s">
        <v>552</v>
      </c>
      <c r="H2" s="4"/>
      <c r="I2" s="4"/>
      <c r="J2" s="4">
        <v>1.31</v>
      </c>
      <c r="K2" s="4">
        <v>3</v>
      </c>
      <c r="L2" s="4"/>
      <c r="M2" s="4" t="s">
        <v>18</v>
      </c>
      <c r="N2" s="4">
        <v>150</v>
      </c>
      <c r="O2" s="3">
        <f>=B2*(N2*F2/10000)*J2</f>
      </c>
    </row>
    <row r="3" spans="1:15" x14ac:dyDescent="0.25">
      <c r="A3" s="2" t="s">
        <v>553</v>
      </c>
      <c r="B3" s="4">
        <v>1</v>
      </c>
      <c r="C3" s="4" t="s">
        <v>27</v>
      </c>
      <c r="D3" s="4"/>
      <c r="E3" s="4"/>
      <c r="F3" s="4">
        <v>35</v>
      </c>
      <c r="G3" s="4" t="s">
        <v>554</v>
      </c>
      <c r="H3" s="4"/>
      <c r="I3" s="4"/>
      <c r="J3" s="4">
        <v>0.75</v>
      </c>
      <c r="K3" s="4">
        <v>3</v>
      </c>
      <c r="L3" s="4"/>
      <c r="M3" s="4" t="s">
        <v>18</v>
      </c>
      <c r="N3" s="4">
        <v>215</v>
      </c>
      <c r="O3" s="3">
        <f>=B3*(N3*F3/10000)*J3</f>
      </c>
    </row>
    <row r="4" spans="1:15" x14ac:dyDescent="0.25">
      <c r="A4" s="2" t="s">
        <v>555</v>
      </c>
      <c r="B4" s="4">
        <v>1</v>
      </c>
      <c r="C4" s="4" t="s">
        <v>27</v>
      </c>
      <c r="D4" s="4"/>
      <c r="E4" s="4"/>
      <c r="F4" s="4">
        <v>35</v>
      </c>
      <c r="G4" s="4" t="s">
        <v>556</v>
      </c>
      <c r="H4" s="4"/>
      <c r="I4" s="4"/>
      <c r="J4" s="4">
        <v>0.61</v>
      </c>
      <c r="K4" s="4">
        <v>3</v>
      </c>
      <c r="L4" s="4"/>
      <c r="M4" s="4" t="s">
        <v>18</v>
      </c>
      <c r="N4" s="4">
        <v>175</v>
      </c>
      <c r="O4" s="3">
        <f>=B4*(N4*F4/10000)*J4</f>
      </c>
    </row>
    <row r="5" spans="1:15" x14ac:dyDescent="0.25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 t="s">
        <v>25</v>
      </c>
      <c r="O5" s="6">
        <f>=SUM(O2:O4)</f>
      </c>
    </row>
  </sheetData>
  <sheetProtection sheet="1" algorithmName="SHA-512" hashValue="cKbtyiTcuKq3vlxRMRnC9Kug2iaMA8dQD2jIkhXp5SvfhJCNAsJeoNf7kDXISjNKD7/eMHAxUX41Loi3FgF9cg==" saltValue="rK1nhtTZ/lW8Ja1+KVBNR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557</v>
      </c>
      <c r="B2" s="4">
        <v>7</v>
      </c>
      <c r="C2" s="4" t="s">
        <v>27</v>
      </c>
      <c r="D2" s="4"/>
      <c r="E2" s="4"/>
      <c r="F2" s="4">
        <v>30</v>
      </c>
      <c r="G2" s="4" t="s">
        <v>558</v>
      </c>
      <c r="H2" s="4"/>
      <c r="I2" s="4"/>
      <c r="J2" s="4">
        <v>151.46</v>
      </c>
      <c r="K2" s="4">
        <v>7</v>
      </c>
      <c r="L2" s="4"/>
      <c r="M2" s="4" t="s">
        <v>18</v>
      </c>
      <c r="N2" s="4">
        <v>30</v>
      </c>
      <c r="O2" s="3">
        <f>=B2*(N2*F2/10000)*J2</f>
      </c>
    </row>
    <row r="3" spans="1:15" x14ac:dyDescent="0.25">
      <c r="A3" s="2" t="s">
        <v>559</v>
      </c>
      <c r="B3" s="4">
        <v>7</v>
      </c>
      <c r="C3" s="4" t="s">
        <v>27</v>
      </c>
      <c r="D3" s="4"/>
      <c r="E3" s="4"/>
      <c r="F3" s="4">
        <v>25</v>
      </c>
      <c r="G3" s="4" t="s">
        <v>560</v>
      </c>
      <c r="H3" s="4"/>
      <c r="I3" s="4"/>
      <c r="J3" s="4">
        <v>151.46</v>
      </c>
      <c r="K3" s="4">
        <v>7</v>
      </c>
      <c r="L3" s="4"/>
      <c r="M3" s="4" t="s">
        <v>18</v>
      </c>
      <c r="N3" s="4">
        <v>30</v>
      </c>
      <c r="O3" s="3">
        <f>=B3*(N3*F3/10000)*J3</f>
      </c>
    </row>
    <row r="4" spans="1:15" x14ac:dyDescent="0.25">
      <c r="A4" s="2" t="s">
        <v>561</v>
      </c>
      <c r="B4" s="4">
        <v>1</v>
      </c>
      <c r="C4" s="4" t="s">
        <v>27</v>
      </c>
      <c r="D4" s="4"/>
      <c r="E4" s="4"/>
      <c r="F4" s="4">
        <v>42</v>
      </c>
      <c r="G4" s="4" t="s">
        <v>562</v>
      </c>
      <c r="H4" s="4"/>
      <c r="I4" s="4"/>
      <c r="J4" s="4">
        <v>151.46</v>
      </c>
      <c r="K4" s="4">
        <v>7</v>
      </c>
      <c r="L4" s="4"/>
      <c r="M4" s="4" t="s">
        <v>18</v>
      </c>
      <c r="N4" s="4">
        <v>29.7</v>
      </c>
      <c r="O4" s="3">
        <f>=B4*(N4*F4/10000)*J4</f>
      </c>
    </row>
    <row r="5" spans="1:15" x14ac:dyDescent="0.25">
      <c r="A5" s="2" t="s">
        <v>563</v>
      </c>
      <c r="B5" s="4">
        <v>3</v>
      </c>
      <c r="C5" s="4" t="s">
        <v>27</v>
      </c>
      <c r="D5" s="4"/>
      <c r="E5" s="4"/>
      <c r="F5" s="4">
        <v>10</v>
      </c>
      <c r="G5" s="4" t="s">
        <v>564</v>
      </c>
      <c r="H5" s="4"/>
      <c r="I5" s="4"/>
      <c r="J5" s="4">
        <v>151.46</v>
      </c>
      <c r="K5" s="4">
        <v>7</v>
      </c>
      <c r="L5" s="4"/>
      <c r="M5" s="4" t="s">
        <v>18</v>
      </c>
      <c r="N5" s="4">
        <v>30</v>
      </c>
      <c r="O5" s="3">
        <f>=B5*(N5*F5/10000)*J5</f>
      </c>
    </row>
    <row r="6" spans="1:15" x14ac:dyDescent="0.25">
      <c r="A6" s="2" t="s">
        <v>565</v>
      </c>
      <c r="B6" s="4">
        <v>1</v>
      </c>
      <c r="C6" s="4" t="s">
        <v>27</v>
      </c>
      <c r="D6" s="4"/>
      <c r="E6" s="4"/>
      <c r="F6" s="4">
        <v>50</v>
      </c>
      <c r="G6" s="4" t="s">
        <v>566</v>
      </c>
      <c r="H6" s="4"/>
      <c r="I6" s="4"/>
      <c r="J6" s="4">
        <v>151.46</v>
      </c>
      <c r="K6" s="4">
        <v>5</v>
      </c>
      <c r="L6" s="4"/>
      <c r="M6" s="4" t="s">
        <v>18</v>
      </c>
      <c r="N6" s="4">
        <v>70</v>
      </c>
      <c r="O6" s="3">
        <f>=B6*(N6*F6/10000)*J6</f>
      </c>
    </row>
    <row r="7" spans="1:15" x14ac:dyDescent="0.25">
      <c r="A7" s="2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 t="s">
        <v>25</v>
      </c>
      <c r="O7" s="6">
        <f>=SUM(O2:O6)</f>
      </c>
    </row>
  </sheetData>
  <sheetProtection sheet="1" algorithmName="SHA-512" hashValue="Cqw0kehWQ3lQOe2WC1rZCv3rLRYCR1Uh790rlXerq7SshrA9vWrR/ZrNjQqt0Ab5vgHlui+PlIEos19pQZOXHA==" saltValue="WrZdELfO0MnKkqjLU8rCf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16" customWidth="1"/>
    <col min="2" max="2" width="20" style="1" customWidth="1"/>
  </cols>
  <sheetData>
    <row r="1" spans="1:2" s="7" customFormat="1" x14ac:dyDescent="0.25">
      <c r="A1" s="8" t="s">
        <v>567</v>
      </c>
      <c r="B1" s="9" t="s">
        <v>568</v>
      </c>
    </row>
    <row r="2" spans="1:2" x14ac:dyDescent="0.25">
      <c r="A2" s="10" t="s">
        <v>569</v>
      </c>
      <c r="B2" s="11">
        <f>=afstandshouder!O6</f>
      </c>
    </row>
    <row r="3" spans="1:2" x14ac:dyDescent="0.25">
      <c r="A3" s="10" t="s">
        <v>570</v>
      </c>
      <c r="B3" s="11">
        <f>=hout!O6</f>
      </c>
    </row>
    <row r="4" spans="1:2" x14ac:dyDescent="0.25">
      <c r="A4" s="10" t="s">
        <v>571</v>
      </c>
      <c r="B4" s="11">
        <f>=plexi_opaal!O3</f>
      </c>
    </row>
    <row r="5" spans="1:2" x14ac:dyDescent="0.25">
      <c r="A5" s="10" t="s">
        <v>572</v>
      </c>
      <c r="B5" s="11">
        <f>=forex_zwart!O37</f>
      </c>
    </row>
    <row r="6" spans="1:2" x14ac:dyDescent="0.25">
      <c r="A6" s="10" t="s">
        <v>573</v>
      </c>
      <c r="B6" s="11">
        <f>=forex_wit!O56</f>
      </c>
    </row>
    <row r="7" spans="1:2" x14ac:dyDescent="0.25">
      <c r="A7" s="10" t="s">
        <v>574</v>
      </c>
      <c r="B7" s="11">
        <f>=zwart!O73</f>
      </c>
    </row>
    <row r="8" spans="1:2" x14ac:dyDescent="0.25">
      <c r="A8" s="10" t="s">
        <v>575</v>
      </c>
      <c r="B8" s="11">
        <f>=wit!O95</f>
      </c>
    </row>
    <row r="9" spans="1:2" x14ac:dyDescent="0.25">
      <c r="A9" s="10" t="s">
        <v>576</v>
      </c>
      <c r="B9" s="11">
        <f>=kanaalplaten!O8</f>
      </c>
    </row>
    <row r="10" spans="1:2" x14ac:dyDescent="0.25">
      <c r="A10" s="10" t="s">
        <v>577</v>
      </c>
      <c r="B10" s="11">
        <f>=brushed_steel!O5</f>
      </c>
    </row>
    <row r="11" spans="1:2" x14ac:dyDescent="0.25">
      <c r="A11" s="10" t="s">
        <v>578</v>
      </c>
      <c r="B11" s="11">
        <f>=plexiglas!O7</f>
      </c>
    </row>
    <row r="12" spans="1:2" x14ac:dyDescent="0.25">
      <c r="A12" s="12" t="s">
        <v>579</v>
      </c>
      <c r="B12" s="13">
        <f>=SUM(B2:B11)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afstandshouder</vt:lpstr>
      <vt:lpstr>hout</vt:lpstr>
      <vt:lpstr>plexi_opaal</vt:lpstr>
      <vt:lpstr>forex_zwart</vt:lpstr>
      <vt:lpstr>forex_wit</vt:lpstr>
      <vt:lpstr>zwart</vt:lpstr>
      <vt:lpstr>wit</vt:lpstr>
      <vt:lpstr>kanaalplaten</vt:lpstr>
      <vt:lpstr>brushed_steel</vt:lpstr>
      <vt:lpstr>plexiglas</vt:lpstr>
      <vt:lpstr>total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2024-12-20T11:07:26Z</dcterms:created>
  <dcterms:modified xsi:type="dcterms:W3CDTF">2024-12-20T11:07:26Z</dcterms:modified>
</cp:coreProperties>
</file>