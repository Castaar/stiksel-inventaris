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standshouder" state="visible" r:id="rId4"/>
    <sheet sheetId="2" name="hout" state="visible" r:id="rId5"/>
    <sheet sheetId="3" name="plexi_opaal" state="visible" r:id="rId6"/>
    <sheet sheetId="4" name="forex_zwart" state="visible" r:id="rId7"/>
    <sheet sheetId="5" name="forex_wit" state="visible" r:id="rId8"/>
    <sheet sheetId="6" name="zwart" state="visible" r:id="rId9"/>
    <sheet sheetId="7" name="wit" state="visible" r:id="rId10"/>
    <sheet sheetId="8" name="kanaalplaten" state="visible" r:id="rId11"/>
    <sheet sheetId="9" name="brushed_steel" state="visible" r:id="rId12"/>
    <sheet sheetId="10" name="plexiglas" state="visible" r:id="rId13"/>
    <sheet sheetId="11" name="total" state="visible" r:id="rId14"/>
  </sheets>
  <calcPr calcId="171027"/>
</workbook>
</file>

<file path=xl/sharedStrings.xml><?xml version="1.0" encoding="utf-8"?>
<sst xmlns="http://schemas.openxmlformats.org/spreadsheetml/2006/main" count="1276" uniqueCount="580">
  <si>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</si>
  <si>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</si>
  <si>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</si>
  <si>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</si>
  <si>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</si>
  <si>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</si>
  <si>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</si>
  <si>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</si>
  <si>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</si>
  <si>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</si>
  <si>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</si>
  <si>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</si>
  <si>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</si>
  <si>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</si>
  <si>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</si>
  <si>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</si>
  <si>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</si>
  <si>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</si>
  <si>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</si>
  <si>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</si>
  <si>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</si>
  <si>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</si>
  <si>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</si>
  <si>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</si>
  <si>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</si>
  <si>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</si>
  <si>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</si>
  <si>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</si>
  <si>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</si>
  <si>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</si>
  <si>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</si>
  <si>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</si>
  <si>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</si>
  <si>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</si>
  <si>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</si>
  <si>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</si>
  <si>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</si>
  <si>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</si>
  <si>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</si>
  <si>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</si>
  <si>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</si>
  <si>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</si>
  <si>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</si>
  <si>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</si>
  <si>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</si>
  <si>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</si>
  <si>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44 x 42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</si>
  <si>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</si>
  <si>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</si>
  <si>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</si>
  <si>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</si>
  <si>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</si>
  <si>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</si>
  <si>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</si>
  <si>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</si>
  <si>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</si>
  <si>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</si>
  <si>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</si>
  <si>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</si>
  <si>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</si>
  <si>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</si>
  <si>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</si>
  <si>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</si>
  <si>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</si>
  <si>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</si>
  <si>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</si>
  <si>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</si>
  <si>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676521e35ff93f7b6d3f91bf</t>
  </si>
  <si>
    <t>47 x 50</t>
  </si>
  <si>
    <t>676521e35ff93f7b6d3f91c0</t>
  </si>
  <si>
    <t>93 x 35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</si>
  <si>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</si>
  <si>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</si>
  <si>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</si>
  <si>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</si>
  <si>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</si>
  <si>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</si>
  <si>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</si>
  <si>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</si>
  <si>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</si>
  <si>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</si>
  <si>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</si>
  <si>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</si>
  <si>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</si>
  <si>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</si>
  <si>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</si>
  <si>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</si>
  <si>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</si>
  <si>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</si>
  <si>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</si>
  <si>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</si>
  <si>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</si>
  <si>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</si>
  <si>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</si>
  <si>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</si>
  <si>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</si>
  <si>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</si>
  <si>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</si>
  <si>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</si>
  <si>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</si>
  <si>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</si>
  <si>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676521e45ff93f7b6d3f91d0</t>
  </si>
  <si>
    <t>137 x 72,5</t>
  </si>
  <si>
    <t>676521e45ff93f7b6d3f91d1</t>
  </si>
  <si>
    <t>72 x 35</t>
  </si>
  <si>
    <t>676521e45ff93f7b6d3f91d2</t>
  </si>
  <si>
    <t>64 X 24@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</si>
  <si>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</si>
  <si>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</si>
  <si>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</si>
  <si>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</si>
  <si>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</si>
  <si>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</si>
  <si>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</si>
  <si>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</si>
  <si>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</si>
  <si>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</si>
  <si>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676521e65ff93f7b6d3f91e8</t>
  </si>
  <si>
    <t>23 x 60</t>
  </si>
  <si>
    <t>676521e65ff93f7b6d3f91e9</t>
  </si>
  <si>
    <t>59 x 22</t>
  </si>
  <si>
    <t>676521e65ff93f7b6d3f91ea</t>
  </si>
  <si>
    <t>50 x 20</t>
  </si>
  <si>
    <t>676521e65ff93f7b6d3f91eb</t>
  </si>
  <si>
    <t>50 x 14,5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</si>
  <si>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</si>
  <si>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</si>
  <si>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</si>
  <si>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</si>
  <si>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</si>
  <si>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</si>
  <si>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</si>
  <si>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</si>
  <si>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</si>
  <si>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</si>
  <si>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</si>
  <si>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</si>
  <si>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</si>
  <si>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</si>
  <si>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</si>
  <si>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</si>
  <si>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</si>
  <si>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</si>
  <si>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</si>
  <si>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</si>
  <si>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</si>
  <si>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</si>
  <si>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</si>
  <si>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</si>
  <si>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</si>
  <si>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</si>
  <si>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</si>
  <si>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</si>
  <si>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</si>
  <si>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</si>
  <si>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</si>
  <si>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</si>
  <si>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</si>
  <si>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</si>
  <si>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</si>
  <si>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</si>
  <si>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</si>
  <si>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</si>
  <si>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</si>
  <si>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</si>
  <si>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</si>
  <si>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</si>
  <si>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</si>
  <si>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676521e85ff93f7b6d3f9203</t>
  </si>
  <si>
    <t>48 x 52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</si>
  <si>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</si>
  <si>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</si>
  <si>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</si>
  <si>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</si>
  <si>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</si>
  <si>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</si>
  <si>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676521e95ff93f7b6d3f9207</t>
  </si>
  <si>
    <t>12,5 x 47</t>
  </si>
  <si>
    <t>676521e95ff93f7b6d3f9208</t>
  </si>
  <si>
    <t>12 x 114,3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</si>
  <si>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</si>
  <si>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</si>
  <si>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</si>
  <si>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</si>
  <si>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</si>
  <si>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</si>
  <si>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</si>
  <si>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</si>
  <si>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</si>
  <si>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</si>
  <si>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</si>
  <si>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156x49</t>
  </si>
  <si>
    <t>676521e95ff93f7b6d3f920f</t>
  </si>
  <si>
    <t>47X12</t>
  </si>
  <si>
    <t>676521e95ff93f7b6d3f9210</t>
  </si>
  <si>
    <t>99 x 45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</si>
  <si>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</si>
  <si>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</si>
  <si>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</si>
  <si>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</si>
  <si>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</si>
  <si>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</si>
  <si>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</si>
  <si>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</si>
  <si>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</si>
  <si>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</si>
  <si>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676521ea5ff93f7b6d3f9216</t>
  </si>
  <si>
    <t>205x203</t>
  </si>
  <si>
    <t>676521ea5ff93f7b6d3f9217</t>
  </si>
  <si>
    <t>65x41</t>
  </si>
  <si>
    <t>676521ea5ff93f7b6d3f9218</t>
  </si>
  <si>
    <t>86x84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</si>
  <si>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</si>
  <si>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</si>
  <si>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</si>
  <si>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</si>
  <si>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</si>
  <si>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</si>
  <si>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</si>
  <si>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</si>
  <si>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</si>
  <si>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</si>
  <si>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</si>
  <si>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</si>
  <si>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</si>
  <si>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</si>
  <si>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676521dd5ff93f7b6d3f9170</t>
  </si>
  <si>
    <t>150 X 15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</si>
  <si>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</si>
  <si>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</si>
  <si>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</si>
  <si>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</si>
  <si>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</si>
  <si>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</si>
  <si>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</si>
  <si>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</si>
  <si>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</si>
  <si>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</si>
  <si>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</si>
  <si>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</si>
  <si>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676521dd5ff93f7b6d3f9177</t>
  </si>
  <si>
    <t>25 X 42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</si>
  <si>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</si>
  <si>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</si>
  <si>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</si>
  <si>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</si>
  <si>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</si>
  <si>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</si>
  <si>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</si>
  <si>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</si>
  <si>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676521de5ff93f7b6d3f917c</t>
  </si>
  <si>
    <t>27 X 42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</si>
  <si>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</si>
  <si>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</si>
  <si>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</si>
  <si>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</si>
  <si>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</si>
  <si>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</si>
  <si>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</si>
  <si>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</si>
  <si>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</si>
  <si>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</si>
  <si>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</si>
  <si>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</si>
  <si>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</si>
  <si>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</si>
  <si>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</si>
  <si>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</si>
  <si>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</si>
  <si>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</si>
  <si>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</si>
  <si>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</si>
  <si>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</si>
  <si>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</si>
  <si>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</si>
  <si>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</si>
  <si>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676521df5ff93f7b6d3f9189</t>
  </si>
  <si>
    <t>49 X 41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</si>
  <si>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</si>
  <si>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</si>
  <si>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</si>
  <si>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</si>
  <si>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</si>
  <si>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</si>
  <si>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</si>
  <si>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</si>
  <si>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</si>
  <si>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</si>
  <si>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</si>
  <si>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</si>
  <si>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</si>
  <si>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</si>
  <si>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</si>
  <si>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</si>
  <si>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</si>
  <si>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</si>
  <si>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</si>
  <si>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</si>
  <si>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</si>
  <si>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</si>
  <si>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</si>
  <si>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</si>
  <si>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</si>
  <si>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</si>
  <si>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</si>
  <si>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</si>
  <si>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676521e05ff93f7b6d3f9198</t>
  </si>
  <si>
    <t>85 x 28,5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</si>
  <si>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</si>
  <si>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</si>
  <si>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</si>
  <si>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</si>
  <si>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</si>
  <si>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</si>
  <si>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</si>
  <si>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</si>
  <si>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</si>
  <si>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</si>
  <si>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</si>
  <si>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</si>
  <si>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</si>
  <si>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</si>
  <si>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</si>
  <si>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</si>
  <si>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</si>
  <si>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</si>
  <si>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</si>
  <si>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</si>
  <si>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</si>
  <si>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</si>
  <si>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</si>
  <si>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</si>
  <si>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676521e15ff93f7b6d3f91a5</t>
  </si>
  <si>
    <t>150 x 19</t>
  </si>
  <si>
    <t>676521e15ff93f7b6d3f91a6</t>
  </si>
  <si>
    <t>77 x 31</t>
  </si>
  <si>
    <t>676521e15ff93f7b6d3f91a7</t>
  </si>
  <si>
    <t>83 X 70</t>
  </si>
  <si>
    <t>676521e15ff93f7b6d3f91a8</t>
  </si>
  <si>
    <t>240 X 25,5</t>
  </si>
  <si>
    <t>676521e15ff93f7b6d3f91a9</t>
  </si>
  <si>
    <t>70X25</t>
  </si>
  <si>
    <t/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</si>
  <si>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</si>
  <si>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</si>
  <si>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</si>
  <si>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</si>
  <si>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</si>
  <si>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</si>
  <si>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</si>
  <si>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</si>
  <si>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</si>
  <si>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</si>
  <si>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676521e25ff93f7b6d3f91af</t>
  </si>
  <si>
    <t>39 x 38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</si>
  <si>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</si>
  <si>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</si>
  <si>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</si>
  <si>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</si>
  <si>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</si>
  <si>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</si>
  <si>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</si>
  <si>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</si>
  <si>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</si>
  <si>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</si>
  <si>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</si>
  <si>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</si>
  <si>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</si>
  <si>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</si>
  <si>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</si>
  <si>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</si>
  <si>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</si>
  <si>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</si>
  <si>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</si>
  <si>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</si>
  <si>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</si>
  <si>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</si>
  <si>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</si>
  <si>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</si>
  <si>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</si>
  <si>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</si>
  <si>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</si>
  <si>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</si>
  <si>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</si>
  <si>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</si>
  <si>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</si>
  <si>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</si>
  <si>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</si>
  <si>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</si>
  <si>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</si>
  <si>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</si>
  <si>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</si>
  <si>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</si>
  <si>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</si>
  <si>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</si>
  <si>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</si>
  <si>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</si>
  <si>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</si>
  <si>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</si>
  <si>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</si>
  <si>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</si>
  <si>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</si>
  <si>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</si>
  <si>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</si>
  <si>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</si>
  <si>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</si>
  <si>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</si>
  <si>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</si>
  <si>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</si>
  <si>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</si>
  <si>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</si>
  <si>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</si>
  <si>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</si>
  <si>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</si>
  <si>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</si>
  <si>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</si>
  <si>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</si>
  <si>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</si>
  <si>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</si>
  <si>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</si>
  <si>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</si>
  <si>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</si>
  <si>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</si>
  <si>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</si>
  <si>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</si>
  <si>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</si>
  <si>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</si>
  <si>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</si>
  <si>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</si>
  <si>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</si>
  <si>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</si>
  <si>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</si>
  <si>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</si>
  <si>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</si>
  <si>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</si>
  <si>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</si>
  <si>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</si>
  <si>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</si>
  <si>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</si>
  <si>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</si>
  <si>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</si>
  <si>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</si>
  <si>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</si>
  <si>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</si>
  <si>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</si>
  <si>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</si>
  <si>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</si>
  <si>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</si>
  <si>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</si>
  <si>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</si>
  <si>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</si>
  <si>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</si>
  <si>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</si>
  <si>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</si>
  <si>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</si>
  <si>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</si>
  <si>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</si>
  <si>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</si>
  <si>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</si>
  <si>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</si>
  <si>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</si>
  <si>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</si>
  <si>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</si>
  <si>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</si>
  <si>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</si>
  <si>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</si>
  <si>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</si>
  <si>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</si>
  <si>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</si>
  <si>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</si>
  <si>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</si>
  <si>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</si>
  <si>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</si>
  <si>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</si>
  <si>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</si>
  <si>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</si>
  <si>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</si>
  <si>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</si>
  <si>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</si>
  <si>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</si>
  <si>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</si>
  <si>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</si>
  <si>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</si>
  <si>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676521f05ff93f7b6d3f925e</t>
  </si>
  <si>
    <t>150 x 150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</si>
  <si>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</si>
  <si>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</si>
  <si>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</si>
  <si>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</si>
  <si>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</si>
  <si>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</si>
  <si>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</si>
  <si>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</si>
  <si>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</si>
  <si>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</si>
  <si>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676521f15ff93f7b6d3f9264</t>
  </si>
  <si>
    <t>57,5 x 100</t>
  </si>
  <si>
    <t>676521f15ff93f7b6d3f9265</t>
  </si>
  <si>
    <t>100 X 132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</si>
  <si>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</si>
  <si>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</si>
  <si>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</si>
  <si>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</si>
  <si>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</si>
  <si>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</si>
  <si>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</si>
  <si>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</si>
  <si>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</si>
  <si>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</si>
  <si>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</si>
  <si>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</si>
  <si>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</si>
  <si>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</si>
  <si>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</si>
  <si>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</si>
  <si>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</si>
  <si>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</si>
  <si>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</si>
  <si>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</si>
  <si>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</si>
  <si>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</si>
  <si>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</si>
  <si>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</si>
  <si>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676521f25ff93f7b6d3f9272</t>
  </si>
  <si>
    <t>60x42</t>
  </si>
  <si>
    <t>676521f25ff93f7b6d3f9273</t>
  </si>
  <si>
    <t>162x35,5</t>
  </si>
  <si>
    <t>676521f25ff93f7b6d3f9274</t>
  </si>
  <si>
    <t>405x18</t>
  </si>
  <si>
    <t>676521f35ff93f7b6d3f9275</t>
  </si>
  <si>
    <t>15Ox100</t>
  </si>
  <si>
    <t>676521f35ff93f7b6d3f9276</t>
  </si>
  <si>
    <t>29x21</t>
  </si>
  <si>
    <t>676521f35ff93f7b6d3f9277</t>
  </si>
  <si>
    <t>125x47</t>
  </si>
  <si>
    <t>676521f35ff93f7b6d3f9278</t>
  </si>
  <si>
    <t>180x120</t>
  </si>
  <si>
    <t>676521f35ff93f7b6d3f9279</t>
  </si>
  <si>
    <t>200x115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</si>
  <si>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</si>
  <si>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</si>
  <si>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</si>
  <si>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</si>
  <si>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</si>
  <si>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</si>
  <si>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</si>
  <si>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</si>
  <si>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</si>
  <si>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</si>
  <si>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</si>
  <si>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</si>
  <si>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</si>
  <si>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</si>
  <si>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</si>
  <si>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</si>
  <si>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</si>
  <si>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</si>
  <si>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</si>
  <si>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</si>
  <si>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</si>
  <si>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</si>
  <si>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</si>
  <si>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</si>
  <si>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</si>
  <si>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</si>
  <si>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</si>
  <si>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</si>
  <si>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Sheet Name</t>
  </si>
  <si>
    <t>Subtotal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</si>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</sst>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1" fillId="0" borderId="2" xfId="0" applyFont="1" applyBorder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 algorithmName="SHA-512" hashValue="ln8DjfyRO+7+EwdfQnWMJUFcWzjPSbAnpaHC95WzKhNGXEJd4ggwq2GqCB58ABc7RL2wvJU/tT2/y707e5mYMQ==" saltValue="2iTjBPENfq4nDIoFTu++R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 algorithmName="SHA-512" hashValue="ewrWXhpCSUga5TYz3jbkOmUrumkYdAfTQJIPtkzf+Knz/dbOwjnDauhb7jZ6K5lxKVN294rsBLOheNBHZHj3aw==" saltValue="T0LfY0Wn6RqevZ4tP4NEv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 algorithmName="SHA-512" hashValue="hrH0wT67DB8U+MKDnCMQa150epgd9ZbLyTlffhZhF/T6Zb4zvuNFstlhsqtO5etP/GhkBclQRtHVrlGI6K4POA==" saltValue="xQ3DhhHOK75X+YqbqRCDb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37</v>
      </c>
      <c r="B2" s="4">
        <v>2</v>
      </c>
      <c r="C2" s="4" t="s">
        <v>27</v>
      </c>
      <c r="D2" s="4"/>
      <c r="E2" s="4"/>
      <c r="F2" s="4">
        <v>100</v>
      </c>
      <c r="G2" s="4" t="s">
        <v>38</v>
      </c>
      <c r="H2" s="4"/>
      <c r="I2" s="4"/>
      <c r="J2" s="4">
        <v>4.76</v>
      </c>
      <c r="K2" s="4">
        <v>1</v>
      </c>
      <c r="L2" s="4"/>
      <c r="M2" s="4" t="s">
        <v>18</v>
      </c>
      <c r="N2" s="4">
        <v>120</v>
      </c>
      <c r="O2" s="3">
        <f>=B2*(N2*F2/10000)*J2</f>
      </c>
    </row>
    <row r="3" spans="1:15" x14ac:dyDescent="0.25">
      <c r="A3" s="2" t="s">
        <v>39</v>
      </c>
      <c r="B3" s="4">
        <v>1</v>
      </c>
      <c r="C3" s="4" t="s">
        <v>27</v>
      </c>
      <c r="D3" s="4"/>
      <c r="E3" s="4"/>
      <c r="F3" s="4">
        <v>118</v>
      </c>
      <c r="G3" s="4" t="s">
        <v>40</v>
      </c>
      <c r="H3" s="4"/>
      <c r="I3" s="4"/>
      <c r="J3" s="4">
        <v>4.76</v>
      </c>
      <c r="K3" s="4">
        <v>4</v>
      </c>
      <c r="L3" s="4"/>
      <c r="M3" s="4" t="s">
        <v>18</v>
      </c>
      <c r="N3" s="4">
        <v>122</v>
      </c>
      <c r="O3" s="3">
        <f>=B3*(N3*F3/10000)*J3</f>
      </c>
    </row>
    <row r="4" spans="1:15" x14ac:dyDescent="0.25">
      <c r="A4" s="2" t="s">
        <v>41</v>
      </c>
      <c r="B4" s="4">
        <v>1</v>
      </c>
      <c r="C4" s="4" t="s">
        <v>27</v>
      </c>
      <c r="D4" s="4"/>
      <c r="E4" s="4"/>
      <c r="F4" s="4">
        <v>40</v>
      </c>
      <c r="G4" s="4" t="s">
        <v>42</v>
      </c>
      <c r="H4" s="4"/>
      <c r="I4" s="4"/>
      <c r="J4" s="4">
        <v>4.76</v>
      </c>
      <c r="K4" s="4"/>
      <c r="L4" s="4"/>
      <c r="M4" s="4" t="s">
        <v>18</v>
      </c>
      <c r="N4" s="4">
        <v>30</v>
      </c>
      <c r="O4" s="3">
        <f>=B4*(N4*F4/10000)*J4</f>
      </c>
    </row>
    <row r="5" spans="1:15" x14ac:dyDescent="0.25">
      <c r="A5" s="2" t="s">
        <v>43</v>
      </c>
      <c r="B5" s="4">
        <v>1</v>
      </c>
      <c r="C5" s="4" t="s">
        <v>27</v>
      </c>
      <c r="D5" s="4"/>
      <c r="E5" s="4"/>
      <c r="F5" s="4">
        <v>147</v>
      </c>
      <c r="G5" s="4" t="s">
        <v>44</v>
      </c>
      <c r="H5" s="4"/>
      <c r="I5" s="4"/>
      <c r="J5" s="4">
        <v>4.76</v>
      </c>
      <c r="K5" s="4">
        <v>4</v>
      </c>
      <c r="L5" s="4"/>
      <c r="M5" s="4" t="s">
        <v>18</v>
      </c>
      <c r="N5" s="4">
        <v>150</v>
      </c>
      <c r="O5" s="3">
        <f>=B5*(N5*F5/10000)*J5</f>
      </c>
    </row>
    <row r="6" spans="1:15" x14ac:dyDescent="0.25">
      <c r="A6" s="2" t="s">
        <v>45</v>
      </c>
      <c r="B6" s="4">
        <v>1</v>
      </c>
      <c r="C6" s="4" t="s">
        <v>27</v>
      </c>
      <c r="D6" s="4"/>
      <c r="E6" s="4"/>
      <c r="F6" s="4">
        <v>42</v>
      </c>
      <c r="G6" s="4" t="s">
        <v>46</v>
      </c>
      <c r="H6" s="4"/>
      <c r="I6" s="4"/>
      <c r="J6" s="4">
        <v>4.76</v>
      </c>
      <c r="K6" s="4"/>
      <c r="L6" s="4"/>
      <c r="M6" s="4" t="s">
        <v>18</v>
      </c>
      <c r="N6" s="4">
        <v>44</v>
      </c>
      <c r="O6" s="3">
        <f>=B6*(N6*F6/10000)*J6</f>
      </c>
    </row>
    <row r="7" spans="1:15" x14ac:dyDescent="0.25">
      <c r="A7" s="2" t="s">
        <v>47</v>
      </c>
      <c r="B7" s="4">
        <v>2</v>
      </c>
      <c r="C7" s="4" t="s">
        <v>27</v>
      </c>
      <c r="D7" s="4"/>
      <c r="E7" s="4"/>
      <c r="F7" s="4">
        <v>18</v>
      </c>
      <c r="G7" s="4" t="s">
        <v>48</v>
      </c>
      <c r="H7" s="4"/>
      <c r="I7" s="4"/>
      <c r="J7" s="4">
        <v>4.76</v>
      </c>
      <c r="K7" s="4">
        <v>1</v>
      </c>
      <c r="L7" s="4"/>
      <c r="M7" s="4" t="s">
        <v>18</v>
      </c>
      <c r="N7" s="4">
        <v>200</v>
      </c>
      <c r="O7" s="3">
        <f>=B7*(N7*F7/10000)*J7</f>
      </c>
    </row>
    <row r="8" spans="1:15" x14ac:dyDescent="0.25">
      <c r="A8" s="2" t="s">
        <v>49</v>
      </c>
      <c r="B8" s="4">
        <v>1</v>
      </c>
      <c r="C8" s="4" t="s">
        <v>27</v>
      </c>
      <c r="D8" s="4"/>
      <c r="E8" s="4"/>
      <c r="F8" s="4">
        <v>120</v>
      </c>
      <c r="G8" s="4" t="s">
        <v>50</v>
      </c>
      <c r="H8" s="4"/>
      <c r="I8" s="4"/>
      <c r="J8" s="4">
        <v>4.76</v>
      </c>
      <c r="K8" s="4">
        <v>4</v>
      </c>
      <c r="L8" s="4"/>
      <c r="M8" s="4" t="s">
        <v>18</v>
      </c>
      <c r="N8" s="4">
        <v>204</v>
      </c>
      <c r="O8" s="3">
        <f>=B8*(N8*F8/10000)*J8</f>
      </c>
    </row>
    <row r="9" spans="1:15" x14ac:dyDescent="0.25">
      <c r="A9" s="2" t="s">
        <v>51</v>
      </c>
      <c r="B9" s="4">
        <v>1</v>
      </c>
      <c r="C9" s="4" t="s">
        <v>27</v>
      </c>
      <c r="D9" s="4"/>
      <c r="E9" s="4"/>
      <c r="F9" s="4">
        <v>9.5</v>
      </c>
      <c r="G9" s="4" t="s">
        <v>52</v>
      </c>
      <c r="H9" s="4"/>
      <c r="I9" s="4"/>
      <c r="J9" s="4">
        <v>4.76</v>
      </c>
      <c r="K9" s="4">
        <v>4</v>
      </c>
      <c r="L9" s="4"/>
      <c r="M9" s="4" t="s">
        <v>18</v>
      </c>
      <c r="N9" s="4">
        <v>23</v>
      </c>
      <c r="O9" s="3">
        <f>=B9*(N9*F9/10000)*J9</f>
      </c>
    </row>
    <row r="10" spans="1:15" x14ac:dyDescent="0.25">
      <c r="A10" s="2" t="s">
        <v>53</v>
      </c>
      <c r="B10" s="4">
        <v>1</v>
      </c>
      <c r="C10" s="4" t="s">
        <v>27</v>
      </c>
      <c r="D10" s="4"/>
      <c r="E10" s="4"/>
      <c r="F10" s="4">
        <v>18</v>
      </c>
      <c r="G10" s="4" t="s">
        <v>54</v>
      </c>
      <c r="H10" s="4"/>
      <c r="I10" s="4"/>
      <c r="J10" s="4">
        <v>4.76</v>
      </c>
      <c r="K10" s="4">
        <v>5</v>
      </c>
      <c r="L10" s="4"/>
      <c r="M10" s="4" t="s">
        <v>18</v>
      </c>
      <c r="N10" s="4">
        <v>24</v>
      </c>
      <c r="O10" s="3">
        <f>=B10*(N10*F10/10000)*J10</f>
      </c>
    </row>
    <row r="11" spans="1:15" x14ac:dyDescent="0.25">
      <c r="A11" s="2" t="s">
        <v>55</v>
      </c>
      <c r="B11" s="4">
        <v>1</v>
      </c>
      <c r="C11" s="4" t="s">
        <v>27</v>
      </c>
      <c r="D11" s="4"/>
      <c r="E11" s="4"/>
      <c r="F11" s="4">
        <v>97</v>
      </c>
      <c r="G11" s="4" t="s">
        <v>56</v>
      </c>
      <c r="H11" s="4"/>
      <c r="I11" s="4"/>
      <c r="J11" s="4">
        <v>4.76</v>
      </c>
      <c r="K11" s="4">
        <v>5</v>
      </c>
      <c r="L11" s="4"/>
      <c r="M11" s="4" t="s">
        <v>18</v>
      </c>
      <c r="N11" s="4">
        <v>24</v>
      </c>
      <c r="O11" s="3">
        <f>=B11*(N11*F11/10000)*J11</f>
      </c>
    </row>
    <row r="12" spans="1:15" x14ac:dyDescent="0.25">
      <c r="A12" s="2" t="s">
        <v>57</v>
      </c>
      <c r="B12" s="4">
        <v>3</v>
      </c>
      <c r="C12" s="4" t="s">
        <v>27</v>
      </c>
      <c r="D12" s="4"/>
      <c r="E12" s="4"/>
      <c r="F12" s="4">
        <v>30</v>
      </c>
      <c r="G12" s="4" t="s">
        <v>58</v>
      </c>
      <c r="H12" s="4"/>
      <c r="I12" s="4"/>
      <c r="J12" s="4">
        <v>4.76</v>
      </c>
      <c r="K12" s="4">
        <v>7</v>
      </c>
      <c r="L12" s="4"/>
      <c r="M12" s="4" t="s">
        <v>18</v>
      </c>
      <c r="N12" s="4">
        <v>30</v>
      </c>
      <c r="O12" s="3">
        <f>=B12*(N12*F12/10000)*J12</f>
      </c>
    </row>
    <row r="13" spans="1:15" x14ac:dyDescent="0.25">
      <c r="A13" s="2" t="s">
        <v>59</v>
      </c>
      <c r="B13" s="4">
        <v>8</v>
      </c>
      <c r="C13" s="4" t="s">
        <v>27</v>
      </c>
      <c r="D13" s="4"/>
      <c r="E13" s="4"/>
      <c r="F13" s="4">
        <v>29</v>
      </c>
      <c r="G13" s="4" t="s">
        <v>60</v>
      </c>
      <c r="H13" s="4"/>
      <c r="I13" s="4"/>
      <c r="J13" s="4">
        <v>4.76</v>
      </c>
      <c r="K13" s="4">
        <v>4</v>
      </c>
      <c r="L13" s="4"/>
      <c r="M13" s="4" t="s">
        <v>18</v>
      </c>
      <c r="N13" s="4">
        <v>32</v>
      </c>
      <c r="O13" s="3">
        <f>=B13*(N13*F13/10000)*J13</f>
      </c>
    </row>
    <row r="14" spans="1:15" x14ac:dyDescent="0.25">
      <c r="A14" s="2" t="s">
        <v>61</v>
      </c>
      <c r="B14" s="4">
        <v>1</v>
      </c>
      <c r="C14" s="4" t="s">
        <v>27</v>
      </c>
      <c r="D14" s="4"/>
      <c r="E14" s="4"/>
      <c r="F14" s="4">
        <v>29</v>
      </c>
      <c r="G14" s="4" t="s">
        <v>62</v>
      </c>
      <c r="H14" s="4"/>
      <c r="I14" s="4"/>
      <c r="J14" s="4">
        <v>4.76</v>
      </c>
      <c r="K14" s="4">
        <v>5</v>
      </c>
      <c r="L14" s="4"/>
      <c r="M14" s="4" t="s">
        <v>18</v>
      </c>
      <c r="N14" s="4">
        <v>34</v>
      </c>
      <c r="O14" s="3">
        <f>=B14*(N14*F14/10000)*J14</f>
      </c>
    </row>
    <row r="15" spans="1:15" x14ac:dyDescent="0.25">
      <c r="A15" s="2" t="s">
        <v>63</v>
      </c>
      <c r="B15" s="4">
        <v>1</v>
      </c>
      <c r="C15" s="4" t="s">
        <v>27</v>
      </c>
      <c r="D15" s="4"/>
      <c r="E15" s="4"/>
      <c r="F15" s="4">
        <v>18</v>
      </c>
      <c r="G15" s="4" t="s">
        <v>64</v>
      </c>
      <c r="H15" s="4"/>
      <c r="I15" s="4"/>
      <c r="J15" s="4">
        <v>4.76</v>
      </c>
      <c r="K15" s="4">
        <v>5</v>
      </c>
      <c r="L15" s="4"/>
      <c r="M15" s="4" t="s">
        <v>18</v>
      </c>
      <c r="N15" s="4">
        <v>40</v>
      </c>
      <c r="O15" s="3">
        <f>=B15*(N15*F15/10000)*J15</f>
      </c>
    </row>
    <row r="16" spans="1:15" x14ac:dyDescent="0.25">
      <c r="A16" s="2" t="s">
        <v>65</v>
      </c>
      <c r="B16" s="4">
        <v>1</v>
      </c>
      <c r="C16" s="4" t="s">
        <v>27</v>
      </c>
      <c r="D16" s="4"/>
      <c r="E16" s="4"/>
      <c r="F16" s="4">
        <v>40</v>
      </c>
      <c r="G16" s="4" t="s">
        <v>66</v>
      </c>
      <c r="H16" s="4"/>
      <c r="I16" s="4"/>
      <c r="J16" s="4">
        <v>4.76</v>
      </c>
      <c r="K16" s="4">
        <v>5</v>
      </c>
      <c r="L16" s="4"/>
      <c r="M16" s="4" t="s">
        <v>18</v>
      </c>
      <c r="N16" s="4">
        <v>40</v>
      </c>
      <c r="O16" s="3">
        <f>=B16*(N16*F16/10000)*J16</f>
      </c>
    </row>
    <row r="17" spans="1:15" x14ac:dyDescent="0.25">
      <c r="A17" s="2" t="s">
        <v>67</v>
      </c>
      <c r="B17" s="4">
        <v>1</v>
      </c>
      <c r="C17" s="4" t="s">
        <v>27</v>
      </c>
      <c r="D17" s="4"/>
      <c r="E17" s="4"/>
      <c r="F17" s="4">
        <v>50</v>
      </c>
      <c r="G17" s="4" t="s">
        <v>68</v>
      </c>
      <c r="H17" s="4"/>
      <c r="I17" s="4"/>
      <c r="J17" s="4">
        <v>4.76</v>
      </c>
      <c r="K17" s="4"/>
      <c r="L17" s="4"/>
      <c r="M17" s="4" t="s">
        <v>18</v>
      </c>
      <c r="N17" s="4">
        <v>47</v>
      </c>
      <c r="O17" s="3">
        <f>=B17*(N17*F17/10000)*J17</f>
      </c>
    </row>
    <row r="18" spans="1:15" x14ac:dyDescent="0.25">
      <c r="A18" s="2" t="s">
        <v>69</v>
      </c>
      <c r="B18" s="4">
        <v>1</v>
      </c>
      <c r="C18" s="4" t="s">
        <v>27</v>
      </c>
      <c r="D18" s="4"/>
      <c r="E18" s="4"/>
      <c r="F18" s="4">
        <v>35</v>
      </c>
      <c r="G18" s="4" t="s">
        <v>70</v>
      </c>
      <c r="H18" s="4"/>
      <c r="I18" s="4"/>
      <c r="J18" s="4">
        <v>4.76</v>
      </c>
      <c r="K18" s="4"/>
      <c r="L18" s="4"/>
      <c r="M18" s="4" t="s">
        <v>18</v>
      </c>
      <c r="N18" s="4">
        <v>93</v>
      </c>
      <c r="O18" s="3">
        <f>=B18*(N18*F18/10000)*J18</f>
      </c>
    </row>
    <row r="19" spans="1:15" x14ac:dyDescent="0.25">
      <c r="A19" s="2" t="s">
        <v>71</v>
      </c>
      <c r="B19" s="4">
        <v>1</v>
      </c>
      <c r="C19" s="4" t="s">
        <v>27</v>
      </c>
      <c r="D19" s="4"/>
      <c r="E19" s="4"/>
      <c r="F19" s="4">
        <v>40</v>
      </c>
      <c r="G19" s="4" t="s">
        <v>72</v>
      </c>
      <c r="H19" s="4"/>
      <c r="I19" s="4"/>
      <c r="J19" s="4">
        <v>4.76</v>
      </c>
      <c r="K19" s="4"/>
      <c r="L19" s="4"/>
      <c r="M19" s="4" t="s">
        <v>18</v>
      </c>
      <c r="N19" s="4">
        <v>100</v>
      </c>
      <c r="O19" s="3">
        <f>=B19*(N19*F19/10000)*J19</f>
      </c>
    </row>
    <row r="20" spans="1:15" x14ac:dyDescent="0.25">
      <c r="A20" s="2" t="s">
        <v>73</v>
      </c>
      <c r="B20" s="4">
        <v>1</v>
      </c>
      <c r="C20" s="4" t="s">
        <v>27</v>
      </c>
      <c r="D20" s="4"/>
      <c r="E20" s="4"/>
      <c r="F20" s="4">
        <v>11</v>
      </c>
      <c r="G20" s="4" t="s">
        <v>74</v>
      </c>
      <c r="H20" s="4"/>
      <c r="I20" s="4"/>
      <c r="J20" s="4">
        <v>4.76</v>
      </c>
      <c r="K20" s="4"/>
      <c r="L20" s="4"/>
      <c r="M20" s="4" t="s">
        <v>18</v>
      </c>
      <c r="N20" s="4">
        <v>53</v>
      </c>
      <c r="O20" s="3">
        <f>=B20*(N20*F20/10000)*J20</f>
      </c>
    </row>
    <row r="21" spans="1:15" x14ac:dyDescent="0.25">
      <c r="A21" s="2" t="s">
        <v>75</v>
      </c>
      <c r="B21" s="4">
        <v>1</v>
      </c>
      <c r="C21" s="4" t="s">
        <v>27</v>
      </c>
      <c r="D21" s="4"/>
      <c r="E21" s="4"/>
      <c r="F21" s="4">
        <v>24</v>
      </c>
      <c r="G21" s="4" t="s">
        <v>76</v>
      </c>
      <c r="H21" s="4"/>
      <c r="I21" s="4"/>
      <c r="J21" s="4">
        <v>4.76</v>
      </c>
      <c r="K21" s="4"/>
      <c r="L21" s="4"/>
      <c r="M21" s="4" t="s">
        <v>18</v>
      </c>
      <c r="N21" s="4">
        <v>97</v>
      </c>
      <c r="O21" s="3">
        <f>=B21*(N21*F21/10000)*J21</f>
      </c>
    </row>
    <row r="22" spans="1:15" x14ac:dyDescent="0.25">
      <c r="A22" s="2" t="s">
        <v>77</v>
      </c>
      <c r="B22" s="4">
        <v>1</v>
      </c>
      <c r="C22" s="4" t="s">
        <v>27</v>
      </c>
      <c r="D22" s="4"/>
      <c r="E22" s="4"/>
      <c r="F22" s="4">
        <v>18</v>
      </c>
      <c r="G22" s="4" t="s">
        <v>78</v>
      </c>
      <c r="H22" s="4"/>
      <c r="I22" s="4"/>
      <c r="J22" s="4">
        <v>4.76</v>
      </c>
      <c r="K22" s="4">
        <v>5</v>
      </c>
      <c r="L22" s="4"/>
      <c r="M22" s="4" t="s">
        <v>18</v>
      </c>
      <c r="N22" s="4">
        <v>50</v>
      </c>
      <c r="O22" s="3">
        <f>=B22*(N22*F22/10000)*J22</f>
      </c>
    </row>
    <row r="23" spans="1:15" x14ac:dyDescent="0.25">
      <c r="A23" s="2" t="s">
        <v>79</v>
      </c>
      <c r="B23" s="4">
        <v>1</v>
      </c>
      <c r="C23" s="4" t="s">
        <v>27</v>
      </c>
      <c r="D23" s="4"/>
      <c r="E23" s="4"/>
      <c r="F23" s="4">
        <v>50</v>
      </c>
      <c r="G23" s="4" t="s">
        <v>80</v>
      </c>
      <c r="H23" s="4"/>
      <c r="I23" s="4"/>
      <c r="J23" s="4">
        <v>4.76</v>
      </c>
      <c r="K23" s="4">
        <v>2</v>
      </c>
      <c r="L23" s="4"/>
      <c r="M23" s="4" t="s">
        <v>18</v>
      </c>
      <c r="N23" s="4">
        <v>50</v>
      </c>
      <c r="O23" s="3">
        <f>=B23*(N23*F23/10000)*J23</f>
      </c>
    </row>
    <row r="24" spans="1:15" x14ac:dyDescent="0.25">
      <c r="A24" s="2" t="s">
        <v>81</v>
      </c>
      <c r="B24" s="4">
        <v>1</v>
      </c>
      <c r="C24" s="4" t="s">
        <v>27</v>
      </c>
      <c r="D24" s="4"/>
      <c r="E24" s="4"/>
      <c r="F24" s="4">
        <v>20</v>
      </c>
      <c r="G24" s="4" t="s">
        <v>82</v>
      </c>
      <c r="H24" s="4"/>
      <c r="I24" s="4"/>
      <c r="J24" s="4">
        <v>4.76</v>
      </c>
      <c r="K24" s="4">
        <v>5</v>
      </c>
      <c r="L24" s="4"/>
      <c r="M24" s="4" t="s">
        <v>18</v>
      </c>
      <c r="N24" s="4">
        <v>50</v>
      </c>
      <c r="O24" s="3">
        <f>=B24*(N24*F24/10000)*J24</f>
      </c>
    </row>
    <row r="25" spans="1:15" x14ac:dyDescent="0.25">
      <c r="A25" s="2" t="s">
        <v>83</v>
      </c>
      <c r="B25" s="4">
        <v>1</v>
      </c>
      <c r="C25" s="4" t="s">
        <v>27</v>
      </c>
      <c r="D25" s="4"/>
      <c r="E25" s="4"/>
      <c r="F25" s="4">
        <v>123</v>
      </c>
      <c r="G25" s="4" t="s">
        <v>84</v>
      </c>
      <c r="H25" s="4"/>
      <c r="I25" s="4"/>
      <c r="J25" s="4">
        <v>4.76</v>
      </c>
      <c r="K25" s="4"/>
      <c r="L25" s="4"/>
      <c r="M25" s="4" t="s">
        <v>18</v>
      </c>
      <c r="N25" s="4">
        <v>305</v>
      </c>
      <c r="O25" s="3">
        <f>=B25*(N25*F25/10000)*J25</f>
      </c>
    </row>
    <row r="26" spans="1:15" x14ac:dyDescent="0.25">
      <c r="A26" s="2" t="s">
        <v>85</v>
      </c>
      <c r="B26" s="4">
        <v>1</v>
      </c>
      <c r="C26" s="4" t="s">
        <v>27</v>
      </c>
      <c r="D26" s="4"/>
      <c r="E26" s="4"/>
      <c r="F26" s="4">
        <v>100</v>
      </c>
      <c r="G26" s="4" t="s">
        <v>86</v>
      </c>
      <c r="H26" s="4"/>
      <c r="I26" s="4"/>
      <c r="J26" s="4">
        <v>4.76</v>
      </c>
      <c r="K26" s="4"/>
      <c r="L26" s="4"/>
      <c r="M26" s="4" t="s">
        <v>18</v>
      </c>
      <c r="N26" s="4">
        <v>27</v>
      </c>
      <c r="O26" s="3">
        <f>=B26*(N26*F26/10000)*J26</f>
      </c>
    </row>
    <row r="27" spans="1:15" x14ac:dyDescent="0.25">
      <c r="A27" s="2" t="s">
        <v>87</v>
      </c>
      <c r="B27" s="4">
        <v>1</v>
      </c>
      <c r="C27" s="4" t="s">
        <v>27</v>
      </c>
      <c r="D27" s="4"/>
      <c r="E27" s="4"/>
      <c r="F27" s="4">
        <v>22</v>
      </c>
      <c r="G27" s="4" t="s">
        <v>88</v>
      </c>
      <c r="H27" s="4"/>
      <c r="I27" s="4"/>
      <c r="J27" s="4">
        <v>4.76</v>
      </c>
      <c r="K27" s="4">
        <v>5</v>
      </c>
      <c r="L27" s="4"/>
      <c r="M27" s="4" t="s">
        <v>18</v>
      </c>
      <c r="N27" s="4">
        <v>59</v>
      </c>
      <c r="O27" s="3">
        <f>=B27*(N27*F27/10000)*J27</f>
      </c>
    </row>
    <row r="28" spans="1:15" x14ac:dyDescent="0.25">
      <c r="A28" s="2" t="s">
        <v>89</v>
      </c>
      <c r="B28" s="4">
        <v>3</v>
      </c>
      <c r="C28" s="4" t="s">
        <v>27</v>
      </c>
      <c r="D28" s="4"/>
      <c r="E28" s="4"/>
      <c r="F28" s="4">
        <v>17.5</v>
      </c>
      <c r="G28" s="4" t="s">
        <v>90</v>
      </c>
      <c r="H28" s="4"/>
      <c r="I28" s="4"/>
      <c r="J28" s="4">
        <v>4.76</v>
      </c>
      <c r="K28" s="4">
        <v>5</v>
      </c>
      <c r="L28" s="4"/>
      <c r="M28" s="4" t="s">
        <v>18</v>
      </c>
      <c r="N28" s="4">
        <v>60</v>
      </c>
      <c r="O28" s="3">
        <f>=B28*(N28*F28/10000)*J28</f>
      </c>
    </row>
    <row r="29" spans="1:15" x14ac:dyDescent="0.25">
      <c r="A29" s="2" t="s">
        <v>91</v>
      </c>
      <c r="B29" s="4">
        <v>2</v>
      </c>
      <c r="C29" s="4" t="s">
        <v>27</v>
      </c>
      <c r="D29" s="4"/>
      <c r="E29" s="4"/>
      <c r="F29" s="4">
        <v>38</v>
      </c>
      <c r="G29" s="4" t="s">
        <v>92</v>
      </c>
      <c r="H29" s="4"/>
      <c r="I29" s="4"/>
      <c r="J29" s="4">
        <v>4.76</v>
      </c>
      <c r="K29" s="4">
        <v>8</v>
      </c>
      <c r="L29" s="4"/>
      <c r="M29" s="4" t="s">
        <v>18</v>
      </c>
      <c r="N29" s="4">
        <v>60</v>
      </c>
      <c r="O29" s="3">
        <f>=B29*(N29*F29/10000)*J29</f>
      </c>
    </row>
    <row r="30" spans="1:15" x14ac:dyDescent="0.25">
      <c r="A30" s="2" t="s">
        <v>93</v>
      </c>
      <c r="B30" s="4">
        <v>2</v>
      </c>
      <c r="C30" s="4" t="s">
        <v>27</v>
      </c>
      <c r="D30" s="4"/>
      <c r="E30" s="4"/>
      <c r="F30" s="4">
        <v>60</v>
      </c>
      <c r="G30" s="4" t="s">
        <v>94</v>
      </c>
      <c r="H30" s="4"/>
      <c r="I30" s="4"/>
      <c r="J30" s="4">
        <v>4.76</v>
      </c>
      <c r="K30" s="4">
        <v>2</v>
      </c>
      <c r="L30" s="4"/>
      <c r="M30" s="4" t="s">
        <v>18</v>
      </c>
      <c r="N30" s="4">
        <v>60</v>
      </c>
      <c r="O30" s="3">
        <f>=B30*(N30*F30/10000)*J30</f>
      </c>
    </row>
    <row r="31" spans="1:15" x14ac:dyDescent="0.25">
      <c r="A31" s="2" t="s">
        <v>95</v>
      </c>
      <c r="B31" s="4">
        <v>1</v>
      </c>
      <c r="C31" s="4" t="s">
        <v>27</v>
      </c>
      <c r="D31" s="4"/>
      <c r="E31" s="4"/>
      <c r="F31" s="4">
        <v>108.5</v>
      </c>
      <c r="G31" s="4" t="s">
        <v>96</v>
      </c>
      <c r="H31" s="4"/>
      <c r="I31" s="4"/>
      <c r="J31" s="4">
        <v>4.76</v>
      </c>
      <c r="K31" s="4"/>
      <c r="L31" s="4"/>
      <c r="M31" s="4" t="s">
        <v>18</v>
      </c>
      <c r="N31" s="4">
        <v>22.5</v>
      </c>
      <c r="O31" s="3">
        <f>=B31*(N31*F31/10000)*J31</f>
      </c>
    </row>
    <row r="32" spans="1:15" x14ac:dyDescent="0.25">
      <c r="A32" s="2" t="s">
        <v>97</v>
      </c>
      <c r="B32" s="4">
        <v>1</v>
      </c>
      <c r="C32" s="4" t="s">
        <v>27</v>
      </c>
      <c r="D32" s="4"/>
      <c r="E32" s="4"/>
      <c r="F32" s="4">
        <v>51</v>
      </c>
      <c r="G32" s="4" t="s">
        <v>98</v>
      </c>
      <c r="H32" s="4"/>
      <c r="I32" s="4"/>
      <c r="J32" s="4">
        <v>4.76</v>
      </c>
      <c r="K32" s="4"/>
      <c r="L32" s="4"/>
      <c r="M32" s="4" t="s">
        <v>18</v>
      </c>
      <c r="N32" s="4">
        <v>80</v>
      </c>
      <c r="O32" s="3">
        <f>=B32*(N32*F32/10000)*J32</f>
      </c>
    </row>
    <row r="33" spans="1:15" x14ac:dyDescent="0.25">
      <c r="A33" s="2" t="s">
        <v>99</v>
      </c>
      <c r="B33" s="4">
        <v>1</v>
      </c>
      <c r="C33" s="4" t="s">
        <v>27</v>
      </c>
      <c r="D33" s="4"/>
      <c r="E33" s="4"/>
      <c r="F33" s="4">
        <v>37</v>
      </c>
      <c r="G33" s="4" t="s">
        <v>100</v>
      </c>
      <c r="H33" s="4"/>
      <c r="I33" s="4"/>
      <c r="J33" s="4">
        <v>4.76</v>
      </c>
      <c r="K33" s="4">
        <v>5</v>
      </c>
      <c r="L33" s="4"/>
      <c r="M33" s="4" t="s">
        <v>18</v>
      </c>
      <c r="N33" s="4">
        <v>48.5</v>
      </c>
      <c r="O33" s="3">
        <f>=B33*(N33*F33/10000)*J33</f>
      </c>
    </row>
    <row r="34" spans="1:15" x14ac:dyDescent="0.25">
      <c r="A34" s="2" t="s">
        <v>101</v>
      </c>
      <c r="B34" s="4">
        <v>1</v>
      </c>
      <c r="C34" s="4" t="s">
        <v>27</v>
      </c>
      <c r="D34" s="4"/>
      <c r="E34" s="4"/>
      <c r="F34" s="4">
        <v>72.5</v>
      </c>
      <c r="G34" s="4" t="s">
        <v>102</v>
      </c>
      <c r="H34" s="4"/>
      <c r="I34" s="4"/>
      <c r="J34" s="4">
        <v>4.76</v>
      </c>
      <c r="K34" s="4">
        <v>5</v>
      </c>
      <c r="L34" s="4"/>
      <c r="M34" s="4" t="s">
        <v>18</v>
      </c>
      <c r="N34" s="4">
        <v>137</v>
      </c>
      <c r="O34" s="3">
        <f>=B34*(N34*F34/10000)*J34</f>
      </c>
    </row>
    <row r="35" spans="1:15" x14ac:dyDescent="0.25">
      <c r="A35" s="2" t="s">
        <v>103</v>
      </c>
      <c r="B35" s="4">
        <v>2</v>
      </c>
      <c r="C35" s="4" t="s">
        <v>27</v>
      </c>
      <c r="D35" s="4"/>
      <c r="E35" s="4"/>
      <c r="F35" s="4">
        <v>35</v>
      </c>
      <c r="G35" s="4" t="s">
        <v>104</v>
      </c>
      <c r="H35" s="4"/>
      <c r="I35" s="4"/>
      <c r="J35" s="4">
        <v>4.76</v>
      </c>
      <c r="K35" s="4">
        <v>3</v>
      </c>
      <c r="L35" s="4"/>
      <c r="M35" s="4" t="s">
        <v>18</v>
      </c>
      <c r="N35" s="4">
        <v>72</v>
      </c>
      <c r="O35" s="3">
        <f>=B35*(N35*F35/10000)*J35</f>
      </c>
    </row>
    <row r="36" spans="1:15" x14ac:dyDescent="0.25">
      <c r="A36" s="2" t="s">
        <v>105</v>
      </c>
      <c r="B36" s="4">
        <v>1</v>
      </c>
      <c r="C36" s="4" t="s">
        <v>27</v>
      </c>
      <c r="D36" s="4"/>
      <c r="E36" s="4"/>
      <c r="F36" s="4">
        <v>24</v>
      </c>
      <c r="G36" s="4" t="s">
        <v>106</v>
      </c>
      <c r="H36" s="4"/>
      <c r="I36" s="4"/>
      <c r="J36" s="4">
        <v>4.76</v>
      </c>
      <c r="K36" s="4">
        <v>3</v>
      </c>
      <c r="L36" s="4"/>
      <c r="M36" s="4" t="s">
        <v>18</v>
      </c>
      <c r="N36" s="4">
        <v>64</v>
      </c>
      <c r="O36" s="3">
        <f>=B36*(N36*F36/10000)*J36</f>
      </c>
    </row>
    <row r="37" spans="1:15" x14ac:dyDescent="0.25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5" t="s">
        <v>25</v>
      </c>
      <c r="O37" s="6">
        <f>=SUM(O2:O36)</f>
      </c>
    </row>
  </sheetData>
  <sheetProtection sheet="1" algorithmName="SHA-512" hashValue="twIqP2Zrsc5PJUZ+SmOY3ObC5lTL55749ZbVQBYNKBxTxexnMoIeJ26D7EayMnzcQRTdUgXiXa6dO6T8adbKrQ==" saltValue="/jm/erpdtbN+EI7VFGAb/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107</v>
      </c>
      <c r="B2" s="4">
        <v>1</v>
      </c>
      <c r="C2" s="4" t="s">
        <v>27</v>
      </c>
      <c r="D2" s="4"/>
      <c r="E2" s="4"/>
      <c r="F2" s="4">
        <v>20</v>
      </c>
      <c r="G2" s="4" t="s">
        <v>108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109</v>
      </c>
      <c r="B3" s="4">
        <v>1</v>
      </c>
      <c r="C3" s="4" t="s">
        <v>27</v>
      </c>
      <c r="D3" s="4"/>
      <c r="E3" s="4"/>
      <c r="F3" s="4">
        <v>20</v>
      </c>
      <c r="G3" s="4" t="s">
        <v>110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111</v>
      </c>
      <c r="B4" s="4">
        <v>1</v>
      </c>
      <c r="C4" s="4" t="s">
        <v>27</v>
      </c>
      <c r="D4" s="4"/>
      <c r="E4" s="4"/>
      <c r="F4" s="4">
        <v>29</v>
      </c>
      <c r="G4" s="4" t="s">
        <v>112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113</v>
      </c>
      <c r="B5" s="4">
        <v>1</v>
      </c>
      <c r="C5" s="4" t="s">
        <v>27</v>
      </c>
      <c r="D5" s="4"/>
      <c r="E5" s="4"/>
      <c r="F5" s="4">
        <v>29</v>
      </c>
      <c r="G5" s="4" t="s">
        <v>114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115</v>
      </c>
      <c r="B6" s="4">
        <v>2</v>
      </c>
      <c r="C6" s="4" t="s">
        <v>27</v>
      </c>
      <c r="D6" s="4"/>
      <c r="E6" s="4"/>
      <c r="F6" s="4">
        <v>29</v>
      </c>
      <c r="G6" s="4" t="s">
        <v>116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117</v>
      </c>
      <c r="B7" s="4">
        <v>2</v>
      </c>
      <c r="C7" s="4" t="s">
        <v>27</v>
      </c>
      <c r="D7" s="4"/>
      <c r="E7" s="4"/>
      <c r="F7" s="4">
        <v>60</v>
      </c>
      <c r="G7" s="4" t="s">
        <v>118</v>
      </c>
      <c r="H7" s="4"/>
      <c r="I7" s="4"/>
      <c r="J7" s="4">
        <v>6.08</v>
      </c>
      <c r="K7" s="4"/>
      <c r="L7" s="4"/>
      <c r="M7" s="4" t="s">
        <v>18</v>
      </c>
      <c r="N7" s="4">
        <v>23</v>
      </c>
      <c r="O7" s="3">
        <f>=B7*(N7*F7/10000)*J7</f>
      </c>
    </row>
    <row r="8" spans="1:15" x14ac:dyDescent="0.25">
      <c r="A8" s="2" t="s">
        <v>119</v>
      </c>
      <c r="B8" s="4">
        <v>2</v>
      </c>
      <c r="C8" s="4" t="s">
        <v>27</v>
      </c>
      <c r="D8" s="4"/>
      <c r="E8" s="4"/>
      <c r="F8" s="4">
        <v>22</v>
      </c>
      <c r="G8" s="4" t="s">
        <v>120</v>
      </c>
      <c r="H8" s="4"/>
      <c r="I8" s="4"/>
      <c r="J8" s="4">
        <v>6.08</v>
      </c>
      <c r="K8" s="4"/>
      <c r="L8" s="4"/>
      <c r="M8" s="4" t="s">
        <v>18</v>
      </c>
      <c r="N8" s="4">
        <v>59</v>
      </c>
      <c r="O8" s="3">
        <f>=B8*(N8*F8/10000)*J8</f>
      </c>
    </row>
    <row r="9" spans="1:15" x14ac:dyDescent="0.25">
      <c r="A9" s="2" t="s">
        <v>121</v>
      </c>
      <c r="B9" s="4">
        <v>1</v>
      </c>
      <c r="C9" s="4" t="s">
        <v>27</v>
      </c>
      <c r="D9" s="4"/>
      <c r="E9" s="4"/>
      <c r="F9" s="4">
        <v>20</v>
      </c>
      <c r="G9" s="4" t="s">
        <v>122</v>
      </c>
      <c r="H9" s="4"/>
      <c r="I9" s="4"/>
      <c r="J9" s="4">
        <v>6.08</v>
      </c>
      <c r="K9" s="4"/>
      <c r="L9" s="4"/>
      <c r="M9" s="4" t="s">
        <v>18</v>
      </c>
      <c r="N9" s="4">
        <v>50</v>
      </c>
      <c r="O9" s="3">
        <f>=B9*(N9*F9/10000)*J9</f>
      </c>
    </row>
    <row r="10" spans="1:15" x14ac:dyDescent="0.25">
      <c r="A10" s="2" t="s">
        <v>123</v>
      </c>
      <c r="B10" s="4">
        <v>1</v>
      </c>
      <c r="C10" s="4" t="s">
        <v>27</v>
      </c>
      <c r="D10" s="4"/>
      <c r="E10" s="4"/>
      <c r="F10" s="4">
        <v>14.5</v>
      </c>
      <c r="G10" s="4" t="s">
        <v>124</v>
      </c>
      <c r="H10" s="4"/>
      <c r="I10" s="4"/>
      <c r="J10" s="4">
        <v>6.08</v>
      </c>
      <c r="K10" s="4"/>
      <c r="L10" s="4"/>
      <c r="M10" s="4" t="s">
        <v>18</v>
      </c>
      <c r="N10" s="4">
        <v>50</v>
      </c>
      <c r="O10" s="3">
        <f>=B10*(N10*F10/10000)*J10</f>
      </c>
    </row>
    <row r="11" spans="1:15" x14ac:dyDescent="0.25">
      <c r="A11" s="2" t="s">
        <v>125</v>
      </c>
      <c r="B11" s="4">
        <v>2</v>
      </c>
      <c r="C11" s="4" t="s">
        <v>27</v>
      </c>
      <c r="D11" s="4"/>
      <c r="E11" s="4"/>
      <c r="F11" s="4">
        <v>35</v>
      </c>
      <c r="G11" s="4" t="s">
        <v>126</v>
      </c>
      <c r="H11" s="4"/>
      <c r="I11" s="4"/>
      <c r="J11" s="4">
        <v>6.08</v>
      </c>
      <c r="K11" s="4">
        <v>1</v>
      </c>
      <c r="L11" s="4"/>
      <c r="M11" s="4" t="s">
        <v>18</v>
      </c>
      <c r="N11" s="4">
        <v>45</v>
      </c>
      <c r="O11" s="3">
        <f>=B11*(N11*F11/10000)*J11</f>
      </c>
    </row>
    <row r="12" spans="1:15" x14ac:dyDescent="0.25">
      <c r="A12" s="2" t="s">
        <v>127</v>
      </c>
      <c r="B12" s="4">
        <v>1</v>
      </c>
      <c r="C12" s="4" t="s">
        <v>27</v>
      </c>
      <c r="D12" s="4"/>
      <c r="E12" s="4"/>
      <c r="F12" s="4">
        <v>50</v>
      </c>
      <c r="G12" s="4" t="s">
        <v>128</v>
      </c>
      <c r="H12" s="4"/>
      <c r="I12" s="4"/>
      <c r="J12" s="4">
        <v>6.08</v>
      </c>
      <c r="K12" s="4">
        <v>1</v>
      </c>
      <c r="L12" s="4"/>
      <c r="M12" s="4" t="s">
        <v>18</v>
      </c>
      <c r="N12" s="4">
        <v>22.5</v>
      </c>
      <c r="O12" s="3">
        <f>=B12*(N12*F12/10000)*J12</f>
      </c>
    </row>
    <row r="13" spans="1:15" x14ac:dyDescent="0.25">
      <c r="A13" s="2" t="s">
        <v>129</v>
      </c>
      <c r="B13" s="4">
        <v>1</v>
      </c>
      <c r="C13" s="4" t="s">
        <v>27</v>
      </c>
      <c r="D13" s="4"/>
      <c r="E13" s="4"/>
      <c r="F13" s="4">
        <v>17.5</v>
      </c>
      <c r="G13" s="4" t="s">
        <v>90</v>
      </c>
      <c r="H13" s="4"/>
      <c r="I13" s="4"/>
      <c r="J13" s="4">
        <v>6.08</v>
      </c>
      <c r="K13" s="4"/>
      <c r="L13" s="4"/>
      <c r="M13" s="4" t="s">
        <v>18</v>
      </c>
      <c r="N13" s="4">
        <v>60</v>
      </c>
      <c r="O13" s="3">
        <f>=B13*(N13*F13/10000)*J13</f>
      </c>
    </row>
    <row r="14" spans="1:15" x14ac:dyDescent="0.25">
      <c r="A14" s="2" t="s">
        <v>130</v>
      </c>
      <c r="B14" s="4">
        <v>4</v>
      </c>
      <c r="C14" s="4" t="s">
        <v>27</v>
      </c>
      <c r="D14" s="4"/>
      <c r="E14" s="4"/>
      <c r="F14" s="4">
        <v>9.5</v>
      </c>
      <c r="G14" s="4" t="s">
        <v>131</v>
      </c>
      <c r="H14" s="4"/>
      <c r="I14" s="4"/>
      <c r="J14" s="4">
        <v>6.08</v>
      </c>
      <c r="K14" s="4"/>
      <c r="L14" s="4"/>
      <c r="M14" s="4" t="s">
        <v>18</v>
      </c>
      <c r="N14" s="4">
        <v>24</v>
      </c>
      <c r="O14" s="3">
        <f>=B14*(N14*F14/10000)*J14</f>
      </c>
    </row>
    <row r="15" spans="1:15" x14ac:dyDescent="0.25">
      <c r="A15" s="2" t="s">
        <v>132</v>
      </c>
      <c r="B15" s="4">
        <v>3</v>
      </c>
      <c r="C15" s="4" t="s">
        <v>27</v>
      </c>
      <c r="D15" s="4"/>
      <c r="E15" s="4"/>
      <c r="F15" s="4">
        <v>15</v>
      </c>
      <c r="G15" s="4" t="s">
        <v>133</v>
      </c>
      <c r="H15" s="4"/>
      <c r="I15" s="4"/>
      <c r="J15" s="4">
        <v>6.08</v>
      </c>
      <c r="K15" s="4"/>
      <c r="L15" s="4"/>
      <c r="M15" s="4" t="s">
        <v>18</v>
      </c>
      <c r="N15" s="4">
        <v>20</v>
      </c>
      <c r="O15" s="3">
        <f>=B15*(N15*F15/10000)*J15</f>
      </c>
    </row>
    <row r="16" spans="1:15" x14ac:dyDescent="0.25">
      <c r="A16" s="2" t="s">
        <v>134</v>
      </c>
      <c r="B16" s="4">
        <v>3</v>
      </c>
      <c r="C16" s="4" t="s">
        <v>27</v>
      </c>
      <c r="D16" s="4"/>
      <c r="E16" s="4"/>
      <c r="F16" s="4">
        <v>18</v>
      </c>
      <c r="G16" s="4" t="s">
        <v>135</v>
      </c>
      <c r="H16" s="4"/>
      <c r="I16" s="4"/>
      <c r="J16" s="4">
        <v>6.08</v>
      </c>
      <c r="K16" s="4"/>
      <c r="L16" s="4"/>
      <c r="M16" s="4" t="s">
        <v>18</v>
      </c>
      <c r="N16" s="4">
        <v>20</v>
      </c>
      <c r="O16" s="3">
        <f>=B16*(N16*F16/10000)*J16</f>
      </c>
    </row>
    <row r="17" spans="1:15" x14ac:dyDescent="0.25">
      <c r="A17" s="2" t="s">
        <v>136</v>
      </c>
      <c r="B17" s="4">
        <v>7</v>
      </c>
      <c r="C17" s="4" t="s">
        <v>27</v>
      </c>
      <c r="D17" s="4"/>
      <c r="E17" s="4"/>
      <c r="F17" s="4">
        <v>18</v>
      </c>
      <c r="G17" s="4" t="s">
        <v>54</v>
      </c>
      <c r="H17" s="4"/>
      <c r="I17" s="4"/>
      <c r="J17" s="4">
        <v>6.08</v>
      </c>
      <c r="K17" s="4"/>
      <c r="L17" s="4"/>
      <c r="M17" s="4" t="s">
        <v>18</v>
      </c>
      <c r="N17" s="4">
        <v>24</v>
      </c>
      <c r="O17" s="3">
        <f>=B17*(N17*F17/10000)*J17</f>
      </c>
    </row>
    <row r="18" spans="1:15" x14ac:dyDescent="0.25">
      <c r="A18" s="2" t="s">
        <v>137</v>
      </c>
      <c r="B18" s="4">
        <v>1</v>
      </c>
      <c r="C18" s="4" t="s">
        <v>27</v>
      </c>
      <c r="D18" s="4"/>
      <c r="E18" s="4"/>
      <c r="F18" s="4">
        <v>22</v>
      </c>
      <c r="G18" s="4" t="s">
        <v>138</v>
      </c>
      <c r="H18" s="4"/>
      <c r="I18" s="4"/>
      <c r="J18" s="4">
        <v>6.08</v>
      </c>
      <c r="K18" s="4"/>
      <c r="L18" s="4"/>
      <c r="M18" s="4" t="s">
        <v>18</v>
      </c>
      <c r="N18" s="4">
        <v>31</v>
      </c>
      <c r="O18" s="3">
        <f>=B18*(N18*F18/10000)*J18</f>
      </c>
    </row>
    <row r="19" spans="1:15" x14ac:dyDescent="0.25">
      <c r="A19" s="2" t="s">
        <v>139</v>
      </c>
      <c r="B19" s="4">
        <v>3</v>
      </c>
      <c r="C19" s="4" t="s">
        <v>27</v>
      </c>
      <c r="D19" s="4"/>
      <c r="E19" s="4"/>
      <c r="F19" s="4">
        <v>30</v>
      </c>
      <c r="G19" s="4" t="s">
        <v>140</v>
      </c>
      <c r="H19" s="4"/>
      <c r="I19" s="4"/>
      <c r="J19" s="4">
        <v>6.08</v>
      </c>
      <c r="K19" s="4"/>
      <c r="L19" s="4"/>
      <c r="M19" s="4" t="s">
        <v>18</v>
      </c>
      <c r="N19" s="4">
        <v>30</v>
      </c>
      <c r="O19" s="3">
        <f>=B19*(N19*F19/10000)*J19</f>
      </c>
    </row>
    <row r="20" spans="1:15" x14ac:dyDescent="0.25">
      <c r="A20" s="2" t="s">
        <v>141</v>
      </c>
      <c r="B20" s="4">
        <v>2</v>
      </c>
      <c r="C20" s="4" t="s">
        <v>27</v>
      </c>
      <c r="D20" s="4"/>
      <c r="E20" s="4"/>
      <c r="F20" s="4">
        <v>50</v>
      </c>
      <c r="G20" s="4" t="s">
        <v>142</v>
      </c>
      <c r="H20" s="4"/>
      <c r="I20" s="4"/>
      <c r="J20" s="4">
        <v>6.08</v>
      </c>
      <c r="K20" s="4">
        <v>8</v>
      </c>
      <c r="L20" s="4"/>
      <c r="M20" s="4" t="s">
        <v>18</v>
      </c>
      <c r="N20" s="4">
        <v>40</v>
      </c>
      <c r="O20" s="3">
        <f>=B20*(N20*F20/10000)*J20</f>
      </c>
    </row>
    <row r="21" spans="1:15" x14ac:dyDescent="0.25">
      <c r="A21" s="2" t="s">
        <v>143</v>
      </c>
      <c r="B21" s="4">
        <v>0</v>
      </c>
      <c r="C21" s="4" t="s">
        <v>27</v>
      </c>
      <c r="D21" s="4"/>
      <c r="E21" s="4"/>
      <c r="F21" s="4">
        <v>50</v>
      </c>
      <c r="G21" s="4" t="s">
        <v>80</v>
      </c>
      <c r="H21" s="4"/>
      <c r="I21" s="4"/>
      <c r="J21" s="4">
        <v>6.08</v>
      </c>
      <c r="K21" s="4">
        <v>1</v>
      </c>
      <c r="L21" s="4"/>
      <c r="M21" s="4" t="s">
        <v>18</v>
      </c>
      <c r="N21" s="4">
        <v>50</v>
      </c>
      <c r="O21" s="3">
        <f>=B21*(N21*F21/10000)*J21</f>
      </c>
    </row>
    <row r="22" spans="1:15" x14ac:dyDescent="0.25">
      <c r="A22" s="2" t="s">
        <v>144</v>
      </c>
      <c r="B22" s="4">
        <v>7</v>
      </c>
      <c r="C22" s="4" t="s">
        <v>27</v>
      </c>
      <c r="D22" s="4"/>
      <c r="E22" s="4"/>
      <c r="F22" s="4">
        <v>35.5</v>
      </c>
      <c r="G22" s="4" t="s">
        <v>145</v>
      </c>
      <c r="H22" s="4"/>
      <c r="I22" s="4"/>
      <c r="J22" s="4">
        <v>6.08</v>
      </c>
      <c r="K22" s="4">
        <v>3</v>
      </c>
      <c r="L22" s="4"/>
      <c r="M22" s="4" t="s">
        <v>18</v>
      </c>
      <c r="N22" s="4">
        <v>22.5</v>
      </c>
      <c r="O22" s="3">
        <f>=B22*(N22*F22/10000)*J22</f>
      </c>
    </row>
    <row r="23" spans="1:15" x14ac:dyDescent="0.25">
      <c r="A23" s="2" t="s">
        <v>146</v>
      </c>
      <c r="B23" s="4">
        <v>1</v>
      </c>
      <c r="C23" s="4" t="s">
        <v>27</v>
      </c>
      <c r="D23" s="4"/>
      <c r="E23" s="4"/>
      <c r="F23" s="4">
        <v>58</v>
      </c>
      <c r="G23" s="4" t="s">
        <v>147</v>
      </c>
      <c r="H23" s="4"/>
      <c r="I23" s="4"/>
      <c r="J23" s="4">
        <v>6.08</v>
      </c>
      <c r="K23" s="4"/>
      <c r="L23" s="4"/>
      <c r="M23" s="4" t="s">
        <v>18</v>
      </c>
      <c r="N23" s="4">
        <v>28</v>
      </c>
      <c r="O23" s="3">
        <f>=B23*(N23*F23/10000)*J23</f>
      </c>
    </row>
    <row r="24" spans="1:15" x14ac:dyDescent="0.25">
      <c r="A24" s="2" t="s">
        <v>148</v>
      </c>
      <c r="B24" s="4">
        <v>1</v>
      </c>
      <c r="C24" s="4" t="s">
        <v>27</v>
      </c>
      <c r="D24" s="4"/>
      <c r="E24" s="4"/>
      <c r="F24" s="4">
        <v>21.5</v>
      </c>
      <c r="G24" s="4" t="s">
        <v>149</v>
      </c>
      <c r="H24" s="4"/>
      <c r="I24" s="4"/>
      <c r="J24" s="4">
        <v>6.08</v>
      </c>
      <c r="K24" s="4"/>
      <c r="L24" s="4"/>
      <c r="M24" s="4" t="s">
        <v>18</v>
      </c>
      <c r="N24" s="4">
        <v>110</v>
      </c>
      <c r="O24" s="3">
        <f>=B24*(N24*F24/10000)*J24</f>
      </c>
    </row>
    <row r="25" spans="1:15" x14ac:dyDescent="0.25">
      <c r="A25" s="2" t="s">
        <v>150</v>
      </c>
      <c r="B25" s="4">
        <v>1</v>
      </c>
      <c r="C25" s="4" t="s">
        <v>27</v>
      </c>
      <c r="D25" s="4"/>
      <c r="E25" s="4"/>
      <c r="F25" s="4">
        <v>25</v>
      </c>
      <c r="G25" s="4" t="s">
        <v>151</v>
      </c>
      <c r="H25" s="4"/>
      <c r="I25" s="4"/>
      <c r="J25" s="4">
        <v>6.08</v>
      </c>
      <c r="K25" s="4"/>
      <c r="L25" s="4"/>
      <c r="M25" s="4" t="s">
        <v>18</v>
      </c>
      <c r="N25" s="4">
        <v>105</v>
      </c>
      <c r="O25" s="3">
        <f>=B25*(N25*F25/10000)*J25</f>
      </c>
    </row>
    <row r="26" spans="1:15" x14ac:dyDescent="0.25">
      <c r="A26" s="2" t="s">
        <v>152</v>
      </c>
      <c r="B26" s="4">
        <v>1</v>
      </c>
      <c r="C26" s="4" t="s">
        <v>27</v>
      </c>
      <c r="D26" s="4"/>
      <c r="E26" s="4"/>
      <c r="F26" s="4">
        <v>25</v>
      </c>
      <c r="G26" s="4" t="s">
        <v>153</v>
      </c>
      <c r="H26" s="4"/>
      <c r="I26" s="4"/>
      <c r="J26" s="4">
        <v>6.08</v>
      </c>
      <c r="K26" s="4"/>
      <c r="L26" s="4"/>
      <c r="M26" s="4" t="s">
        <v>18</v>
      </c>
      <c r="N26" s="4">
        <v>120</v>
      </c>
      <c r="O26" s="3">
        <f>=B26*(N26*F26/10000)*J26</f>
      </c>
    </row>
    <row r="27" spans="1:15" x14ac:dyDescent="0.25">
      <c r="A27" s="2" t="s">
        <v>154</v>
      </c>
      <c r="B27" s="4">
        <v>1</v>
      </c>
      <c r="C27" s="4" t="s">
        <v>27</v>
      </c>
      <c r="D27" s="4"/>
      <c r="E27" s="4"/>
      <c r="F27" s="4">
        <v>131</v>
      </c>
      <c r="G27" s="4" t="s">
        <v>155</v>
      </c>
      <c r="H27" s="4"/>
      <c r="I27" s="4"/>
      <c r="J27" s="4">
        <v>6.08</v>
      </c>
      <c r="K27" s="4"/>
      <c r="L27" s="4"/>
      <c r="M27" s="4" t="s">
        <v>18</v>
      </c>
      <c r="N27" s="4">
        <v>24</v>
      </c>
      <c r="O27" s="3">
        <f>=B27*(N27*F27/10000)*J27</f>
      </c>
    </row>
    <row r="28" spans="1:15" x14ac:dyDescent="0.25">
      <c r="A28" s="2" t="s">
        <v>156</v>
      </c>
      <c r="B28" s="4">
        <v>1</v>
      </c>
      <c r="C28" s="4" t="s">
        <v>27</v>
      </c>
      <c r="D28" s="4"/>
      <c r="E28" s="4"/>
      <c r="F28" s="4">
        <v>30</v>
      </c>
      <c r="G28" s="4" t="s">
        <v>157</v>
      </c>
      <c r="H28" s="4"/>
      <c r="I28" s="4"/>
      <c r="J28" s="4">
        <v>6.08</v>
      </c>
      <c r="K28" s="4"/>
      <c r="L28" s="4"/>
      <c r="M28" s="4" t="s">
        <v>18</v>
      </c>
      <c r="N28" s="4">
        <v>49</v>
      </c>
      <c r="O28" s="3">
        <f>=B28*(N28*F28/10000)*J28</f>
      </c>
    </row>
    <row r="29" spans="1:15" x14ac:dyDescent="0.25">
      <c r="A29" s="2" t="s">
        <v>158</v>
      </c>
      <c r="B29" s="4">
        <v>1</v>
      </c>
      <c r="C29" s="4" t="s">
        <v>27</v>
      </c>
      <c r="D29" s="4"/>
      <c r="E29" s="4"/>
      <c r="F29" s="4">
        <v>79</v>
      </c>
      <c r="G29" s="4" t="s">
        <v>159</v>
      </c>
      <c r="H29" s="4"/>
      <c r="I29" s="4"/>
      <c r="J29" s="4">
        <v>6.08</v>
      </c>
      <c r="K29" s="4"/>
      <c r="L29" s="4"/>
      <c r="M29" s="4" t="s">
        <v>18</v>
      </c>
      <c r="N29" s="4">
        <v>29</v>
      </c>
      <c r="O29" s="3">
        <f>=B29*(N29*F29/10000)*J29</f>
      </c>
    </row>
    <row r="30" spans="1:15" x14ac:dyDescent="0.25">
      <c r="A30" s="2" t="s">
        <v>160</v>
      </c>
      <c r="B30" s="4">
        <v>1</v>
      </c>
      <c r="C30" s="4" t="s">
        <v>27</v>
      </c>
      <c r="D30" s="4"/>
      <c r="E30" s="4"/>
      <c r="F30" s="4">
        <v>14.5</v>
      </c>
      <c r="G30" s="4" t="s">
        <v>161</v>
      </c>
      <c r="H30" s="4"/>
      <c r="I30" s="4"/>
      <c r="J30" s="4">
        <v>6.08</v>
      </c>
      <c r="K30" s="4"/>
      <c r="L30" s="4"/>
      <c r="M30" s="4" t="s">
        <v>18</v>
      </c>
      <c r="N30" s="4">
        <v>80</v>
      </c>
      <c r="O30" s="3">
        <f>=B30*(N30*F30/10000)*J30</f>
      </c>
    </row>
    <row r="31" spans="1:15" x14ac:dyDescent="0.25">
      <c r="A31" s="2" t="s">
        <v>162</v>
      </c>
      <c r="B31" s="4">
        <v>1</v>
      </c>
      <c r="C31" s="4" t="s">
        <v>27</v>
      </c>
      <c r="D31" s="4"/>
      <c r="E31" s="4"/>
      <c r="F31" s="4">
        <v>38</v>
      </c>
      <c r="G31" s="4" t="s">
        <v>163</v>
      </c>
      <c r="H31" s="4"/>
      <c r="I31" s="4"/>
      <c r="J31" s="4">
        <v>6.08</v>
      </c>
      <c r="K31" s="4"/>
      <c r="L31" s="4"/>
      <c r="M31" s="4" t="s">
        <v>18</v>
      </c>
      <c r="N31" s="4">
        <v>42</v>
      </c>
      <c r="O31" s="3">
        <f>=B31*(N31*F31/10000)*J31</f>
      </c>
    </row>
    <row r="32" spans="1:15" x14ac:dyDescent="0.25">
      <c r="A32" s="2" t="s">
        <v>164</v>
      </c>
      <c r="B32" s="4">
        <v>1</v>
      </c>
      <c r="C32" s="4" t="s">
        <v>27</v>
      </c>
      <c r="D32" s="4"/>
      <c r="E32" s="4"/>
      <c r="F32" s="4">
        <v>19</v>
      </c>
      <c r="G32" s="4" t="s">
        <v>165</v>
      </c>
      <c r="H32" s="4"/>
      <c r="I32" s="4"/>
      <c r="J32" s="4">
        <v>6.08</v>
      </c>
      <c r="K32" s="4"/>
      <c r="L32" s="4"/>
      <c r="M32" s="4" t="s">
        <v>18</v>
      </c>
      <c r="N32" s="4">
        <v>42</v>
      </c>
      <c r="O32" s="3">
        <f>=B32*(N32*F32/10000)*J32</f>
      </c>
    </row>
    <row r="33" spans="1:15" x14ac:dyDescent="0.25">
      <c r="A33" s="2" t="s">
        <v>166</v>
      </c>
      <c r="B33" s="4">
        <v>1</v>
      </c>
      <c r="C33" s="4" t="s">
        <v>27</v>
      </c>
      <c r="D33" s="4"/>
      <c r="E33" s="4"/>
      <c r="F33" s="4">
        <v>19</v>
      </c>
      <c r="G33" s="4" t="s">
        <v>167</v>
      </c>
      <c r="H33" s="4"/>
      <c r="I33" s="4"/>
      <c r="J33" s="4">
        <v>6.08</v>
      </c>
      <c r="K33" s="4"/>
      <c r="L33" s="4"/>
      <c r="M33" s="4" t="s">
        <v>18</v>
      </c>
      <c r="N33" s="4">
        <v>79</v>
      </c>
      <c r="O33" s="3">
        <f>=B33*(N33*F33/10000)*J33</f>
      </c>
    </row>
    <row r="34" spans="1:15" x14ac:dyDescent="0.25">
      <c r="A34" s="2" t="s">
        <v>168</v>
      </c>
      <c r="B34" s="4">
        <v>1</v>
      </c>
      <c r="C34" s="4" t="s">
        <v>27</v>
      </c>
      <c r="D34" s="4"/>
      <c r="E34" s="4"/>
      <c r="F34" s="4">
        <v>52</v>
      </c>
      <c r="G34" s="4" t="s">
        <v>169</v>
      </c>
      <c r="H34" s="4"/>
      <c r="I34" s="4"/>
      <c r="J34" s="4">
        <v>6.08</v>
      </c>
      <c r="K34" s="4"/>
      <c r="L34" s="4"/>
      <c r="M34" s="4" t="s">
        <v>18</v>
      </c>
      <c r="N34" s="4">
        <v>48</v>
      </c>
      <c r="O34" s="3">
        <f>=B34*(N34*F34/10000)*J34</f>
      </c>
    </row>
    <row r="35" spans="1:15" x14ac:dyDescent="0.25">
      <c r="A35" s="2" t="s">
        <v>170</v>
      </c>
      <c r="B35" s="4">
        <v>1</v>
      </c>
      <c r="C35" s="4" t="s">
        <v>27</v>
      </c>
      <c r="D35" s="4"/>
      <c r="E35" s="4"/>
      <c r="F35" s="4">
        <v>33</v>
      </c>
      <c r="G35" s="4" t="s">
        <v>171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37</v>
      </c>
      <c r="O35" s="3">
        <f>=B35*(N35*F35/10000)*J35</f>
      </c>
    </row>
    <row r="36" spans="1:15" x14ac:dyDescent="0.25">
      <c r="A36" s="2" t="s">
        <v>172</v>
      </c>
      <c r="B36" s="4">
        <v>1</v>
      </c>
      <c r="C36" s="4" t="s">
        <v>27</v>
      </c>
      <c r="D36" s="4"/>
      <c r="E36" s="4"/>
      <c r="F36" s="4">
        <v>35</v>
      </c>
      <c r="G36" s="4" t="s">
        <v>173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46.5</v>
      </c>
      <c r="O36" s="3">
        <f>=B36*(N36*F36/10000)*J36</f>
      </c>
    </row>
    <row r="37" spans="1:15" x14ac:dyDescent="0.25">
      <c r="A37" s="2" t="s">
        <v>174</v>
      </c>
      <c r="B37" s="4">
        <v>1</v>
      </c>
      <c r="C37" s="4" t="s">
        <v>27</v>
      </c>
      <c r="D37" s="4"/>
      <c r="E37" s="4"/>
      <c r="F37" s="4">
        <v>67</v>
      </c>
      <c r="G37" s="4" t="s">
        <v>175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85</v>
      </c>
      <c r="O37" s="3">
        <f>=B37*(N37*F37/10000)*J37</f>
      </c>
    </row>
    <row r="38" spans="1:15" x14ac:dyDescent="0.25">
      <c r="A38" s="2" t="s">
        <v>176</v>
      </c>
      <c r="B38" s="4">
        <v>1</v>
      </c>
      <c r="C38" s="4" t="s">
        <v>27</v>
      </c>
      <c r="D38" s="4"/>
      <c r="E38" s="4"/>
      <c r="F38" s="4">
        <v>47</v>
      </c>
      <c r="G38" s="4" t="s">
        <v>177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12.5</v>
      </c>
      <c r="O38" s="3">
        <f>=B38*(N38*F38/10000)*J38</f>
      </c>
    </row>
    <row r="39" spans="1:15" x14ac:dyDescent="0.25">
      <c r="A39" s="2" t="s">
        <v>178</v>
      </c>
      <c r="B39" s="4">
        <v>1</v>
      </c>
      <c r="C39" s="4" t="s">
        <v>27</v>
      </c>
      <c r="D39" s="4"/>
      <c r="E39" s="4"/>
      <c r="F39" s="4">
        <v>114.3</v>
      </c>
      <c r="G39" s="4" t="s">
        <v>179</v>
      </c>
      <c r="H39" s="4"/>
      <c r="I39" s="4"/>
      <c r="J39" s="4">
        <v>6.08</v>
      </c>
      <c r="K39" s="4">
        <v>3</v>
      </c>
      <c r="L39" s="4"/>
      <c r="M39" s="4" t="s">
        <v>18</v>
      </c>
      <c r="N39" s="4">
        <v>12</v>
      </c>
      <c r="O39" s="3">
        <f>=B39*(N39*F39/10000)*J39</f>
      </c>
    </row>
    <row r="40" spans="1:15" x14ac:dyDescent="0.25">
      <c r="A40" s="2" t="s">
        <v>180</v>
      </c>
      <c r="B40" s="4">
        <v>1</v>
      </c>
      <c r="C40" s="4" t="s">
        <v>27</v>
      </c>
      <c r="D40" s="4"/>
      <c r="E40" s="4"/>
      <c r="F40" s="4">
        <v>183</v>
      </c>
      <c r="G40" s="4" t="s">
        <v>181</v>
      </c>
      <c r="H40" s="4"/>
      <c r="I40" s="4"/>
      <c r="J40" s="4">
        <v>6.08</v>
      </c>
      <c r="K40" s="4">
        <v>3</v>
      </c>
      <c r="L40" s="4"/>
      <c r="M40" s="4" t="s">
        <v>18</v>
      </c>
      <c r="N40" s="4">
        <v>40</v>
      </c>
      <c r="O40" s="3">
        <f>=B40*(N40*F40/10000)*J40</f>
      </c>
    </row>
    <row r="41" spans="1:15" x14ac:dyDescent="0.25">
      <c r="A41" s="2" t="s">
        <v>182</v>
      </c>
      <c r="B41" s="4">
        <v>1</v>
      </c>
      <c r="C41" s="4" t="s">
        <v>27</v>
      </c>
      <c r="D41" s="4"/>
      <c r="E41" s="4"/>
      <c r="F41" s="4">
        <v>143</v>
      </c>
      <c r="G41" s="4" t="s">
        <v>183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47.5</v>
      </c>
      <c r="O41" s="3">
        <f>=B41*(N41*F41/10000)*J41</f>
      </c>
    </row>
    <row r="42" spans="1:15" x14ac:dyDescent="0.25">
      <c r="A42" s="2" t="s">
        <v>184</v>
      </c>
      <c r="B42" s="4">
        <v>1</v>
      </c>
      <c r="C42" s="4" t="s">
        <v>27</v>
      </c>
      <c r="D42" s="4"/>
      <c r="E42" s="4"/>
      <c r="F42" s="4">
        <v>27.5</v>
      </c>
      <c r="G42" s="4" t="s">
        <v>185</v>
      </c>
      <c r="H42" s="4"/>
      <c r="I42" s="4"/>
      <c r="J42" s="4">
        <v>6.08</v>
      </c>
      <c r="K42" s="4">
        <v>3</v>
      </c>
      <c r="L42" s="4"/>
      <c r="M42" s="4" t="s">
        <v>18</v>
      </c>
      <c r="N42" s="4">
        <v>33</v>
      </c>
      <c r="O42" s="3">
        <f>=B42*(N42*F42/10000)*J42</f>
      </c>
    </row>
    <row r="43" spans="1:15" x14ac:dyDescent="0.25">
      <c r="A43" s="2" t="s">
        <v>186</v>
      </c>
      <c r="B43" s="4">
        <v>0</v>
      </c>
      <c r="C43" s="4" t="s">
        <v>27</v>
      </c>
      <c r="D43" s="4"/>
      <c r="E43" s="4"/>
      <c r="F43" s="4">
        <v>47.5</v>
      </c>
      <c r="G43" s="4" t="s">
        <v>187</v>
      </c>
      <c r="H43" s="4"/>
      <c r="I43" s="4"/>
      <c r="J43" s="4">
        <v>6.08</v>
      </c>
      <c r="K43" s="4">
        <v>3</v>
      </c>
      <c r="L43" s="4"/>
      <c r="M43" s="4" t="s">
        <v>18</v>
      </c>
      <c r="N43" s="4">
        <v>143</v>
      </c>
      <c r="O43" s="3">
        <f>=B43*(N43*F43/10000)*J43</f>
      </c>
    </row>
    <row r="44" spans="1:15" x14ac:dyDescent="0.25">
      <c r="A44" s="2" t="s">
        <v>188</v>
      </c>
      <c r="B44" s="4">
        <v>0</v>
      </c>
      <c r="C44" s="4" t="s">
        <v>27</v>
      </c>
      <c r="D44" s="4"/>
      <c r="E44" s="4"/>
      <c r="F44" s="4">
        <v>29.5</v>
      </c>
      <c r="G44" s="4" t="s">
        <v>189</v>
      </c>
      <c r="H44" s="4"/>
      <c r="I44" s="4"/>
      <c r="J44" s="4">
        <v>6.08</v>
      </c>
      <c r="K44" s="4">
        <v>10</v>
      </c>
      <c r="L44" s="4"/>
      <c r="M44" s="4" t="s">
        <v>18</v>
      </c>
      <c r="N44" s="4">
        <v>41</v>
      </c>
      <c r="O44" s="3">
        <f>=B44*(N44*F44/10000)*J44</f>
      </c>
    </row>
    <row r="45" spans="1:15" x14ac:dyDescent="0.25">
      <c r="A45" s="2" t="s">
        <v>190</v>
      </c>
      <c r="B45" s="4">
        <v>0</v>
      </c>
      <c r="C45" s="4" t="s">
        <v>27</v>
      </c>
      <c r="D45" s="4"/>
      <c r="E45" s="4"/>
      <c r="F45" s="4">
        <v>49</v>
      </c>
      <c r="G45" s="4" t="s">
        <v>191</v>
      </c>
      <c r="H45" s="4"/>
      <c r="I45" s="4"/>
      <c r="J45" s="4">
        <v>6.08</v>
      </c>
      <c r="K45" s="4">
        <v>10</v>
      </c>
      <c r="L45" s="4"/>
      <c r="M45" s="4" t="s">
        <v>18</v>
      </c>
      <c r="N45" s="4">
        <v>156</v>
      </c>
      <c r="O45" s="3">
        <f>=B45*(N45*F45/10000)*J45</f>
      </c>
    </row>
    <row r="46" spans="1:15" x14ac:dyDescent="0.25">
      <c r="A46" s="2" t="s">
        <v>192</v>
      </c>
      <c r="B46" s="4">
        <v>0</v>
      </c>
      <c r="C46" s="4" t="s">
        <v>27</v>
      </c>
      <c r="D46" s="4"/>
      <c r="E46" s="4"/>
      <c r="F46" s="4">
        <v>12</v>
      </c>
      <c r="G46" s="4" t="s">
        <v>193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47</v>
      </c>
      <c r="O46" s="3">
        <f>=B46*(N46*F46/10000)*J46</f>
      </c>
    </row>
    <row r="47" spans="1:15" x14ac:dyDescent="0.25">
      <c r="A47" s="2" t="s">
        <v>194</v>
      </c>
      <c r="B47" s="4">
        <v>3</v>
      </c>
      <c r="C47" s="4" t="s">
        <v>27</v>
      </c>
      <c r="D47" s="4"/>
      <c r="E47" s="4"/>
      <c r="F47" s="4">
        <v>45</v>
      </c>
      <c r="G47" s="4" t="s">
        <v>195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99</v>
      </c>
      <c r="O47" s="3">
        <f>=B47*(N47*F47/10000)*J47</f>
      </c>
    </row>
    <row r="48" spans="1:15" x14ac:dyDescent="0.25">
      <c r="A48" s="2" t="s">
        <v>196</v>
      </c>
      <c r="B48" s="4">
        <v>1</v>
      </c>
      <c r="C48" s="4" t="s">
        <v>27</v>
      </c>
      <c r="D48" s="4"/>
      <c r="E48" s="4"/>
      <c r="F48" s="4">
        <v>30</v>
      </c>
      <c r="G48" s="4" t="s">
        <v>197</v>
      </c>
      <c r="H48" s="4"/>
      <c r="I48" s="4"/>
      <c r="J48" s="4">
        <v>6.08</v>
      </c>
      <c r="K48" s="4">
        <v>3</v>
      </c>
      <c r="L48" s="4"/>
      <c r="M48" s="4" t="s">
        <v>18</v>
      </c>
      <c r="N48" s="4">
        <v>99</v>
      </c>
      <c r="O48" s="3">
        <f>=B48*(N48*F48/10000)*J48</f>
      </c>
    </row>
    <row r="49" spans="1:15" x14ac:dyDescent="0.25">
      <c r="A49" s="2" t="s">
        <v>198</v>
      </c>
      <c r="B49" s="4">
        <v>2</v>
      </c>
      <c r="C49" s="4" t="s">
        <v>27</v>
      </c>
      <c r="D49" s="4"/>
      <c r="E49" s="4"/>
      <c r="F49" s="4">
        <v>41</v>
      </c>
      <c r="G49" s="4" t="s">
        <v>199</v>
      </c>
      <c r="H49" s="4"/>
      <c r="I49" s="4"/>
      <c r="J49" s="4">
        <v>6.08</v>
      </c>
      <c r="K49" s="4">
        <v>8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200</v>
      </c>
      <c r="B50" s="4">
        <v>1</v>
      </c>
      <c r="C50" s="4" t="s">
        <v>27</v>
      </c>
      <c r="D50" s="4"/>
      <c r="E50" s="4"/>
      <c r="F50" s="4">
        <v>22.5</v>
      </c>
      <c r="G50" s="4" t="s">
        <v>201</v>
      </c>
      <c r="H50" s="4"/>
      <c r="I50" s="4"/>
      <c r="J50" s="4">
        <v>6.08</v>
      </c>
      <c r="K50" s="4">
        <v>5</v>
      </c>
      <c r="L50" s="4"/>
      <c r="M50" s="4" t="s">
        <v>18</v>
      </c>
      <c r="N50" s="4">
        <v>108</v>
      </c>
      <c r="O50" s="3">
        <f>=B50*(N50*F50/10000)*J50</f>
      </c>
    </row>
    <row r="51" spans="1:15" x14ac:dyDescent="0.25">
      <c r="A51" s="2" t="s">
        <v>202</v>
      </c>
      <c r="B51" s="4">
        <v>8</v>
      </c>
      <c r="C51" s="4" t="s">
        <v>27</v>
      </c>
      <c r="D51" s="4"/>
      <c r="E51" s="4"/>
      <c r="F51" s="4">
        <v>72</v>
      </c>
      <c r="G51" s="4" t="s">
        <v>203</v>
      </c>
      <c r="H51" s="4"/>
      <c r="I51" s="4"/>
      <c r="J51" s="4">
        <v>6.08</v>
      </c>
      <c r="K51" s="4">
        <v>8</v>
      </c>
      <c r="L51" s="4"/>
      <c r="M51" s="4" t="s">
        <v>18</v>
      </c>
      <c r="N51" s="4">
        <v>72</v>
      </c>
      <c r="O51" s="3">
        <f>=B51*(N51*F51/10000)*J51</f>
      </c>
    </row>
    <row r="52" spans="1:15" x14ac:dyDescent="0.25">
      <c r="A52" s="2" t="s">
        <v>204</v>
      </c>
      <c r="B52" s="4">
        <v>2</v>
      </c>
      <c r="C52" s="4" t="s">
        <v>27</v>
      </c>
      <c r="D52" s="4"/>
      <c r="E52" s="4"/>
      <c r="F52" s="4">
        <v>72</v>
      </c>
      <c r="G52" s="4" t="s">
        <v>205</v>
      </c>
      <c r="H52" s="4"/>
      <c r="I52" s="4"/>
      <c r="J52" s="4">
        <v>6.08</v>
      </c>
      <c r="K52" s="4">
        <v>5</v>
      </c>
      <c r="L52" s="4"/>
      <c r="M52" s="4" t="s">
        <v>18</v>
      </c>
      <c r="N52" s="4">
        <v>72</v>
      </c>
      <c r="O52" s="3">
        <f>=B52*(N52*F52/10000)*J52</f>
      </c>
    </row>
    <row r="53" spans="1:15" x14ac:dyDescent="0.25">
      <c r="A53" s="2" t="s">
        <v>206</v>
      </c>
      <c r="B53" s="4">
        <v>1</v>
      </c>
      <c r="C53" s="4" t="s">
        <v>27</v>
      </c>
      <c r="D53" s="4"/>
      <c r="E53" s="4"/>
      <c r="F53" s="4">
        <v>203</v>
      </c>
      <c r="G53" s="4" t="s">
        <v>207</v>
      </c>
      <c r="H53" s="4"/>
      <c r="I53" s="4"/>
      <c r="J53" s="4">
        <v>6.08</v>
      </c>
      <c r="K53" s="4">
        <v>3</v>
      </c>
      <c r="L53" s="4"/>
      <c r="M53" s="4" t="s">
        <v>18</v>
      </c>
      <c r="N53" s="4">
        <v>205</v>
      </c>
      <c r="O53" s="3">
        <f>=B53*(N53*F53/10000)*J53</f>
      </c>
    </row>
    <row r="54" spans="1:15" x14ac:dyDescent="0.25">
      <c r="A54" s="2" t="s">
        <v>208</v>
      </c>
      <c r="B54" s="4">
        <v>1</v>
      </c>
      <c r="C54" s="4" t="s">
        <v>27</v>
      </c>
      <c r="D54" s="4"/>
      <c r="E54" s="4"/>
      <c r="F54" s="4">
        <v>41</v>
      </c>
      <c r="G54" s="4" t="s">
        <v>209</v>
      </c>
      <c r="H54" s="4"/>
      <c r="I54" s="4"/>
      <c r="J54" s="4">
        <v>6.08</v>
      </c>
      <c r="K54" s="4">
        <v>3</v>
      </c>
      <c r="L54" s="4"/>
      <c r="M54" s="4" t="s">
        <v>18</v>
      </c>
      <c r="N54" s="4">
        <v>65</v>
      </c>
      <c r="O54" s="3">
        <f>=B54*(N54*F54/10000)*J54</f>
      </c>
    </row>
    <row r="55" spans="1:15" x14ac:dyDescent="0.25">
      <c r="A55" s="2" t="s">
        <v>210</v>
      </c>
      <c r="B55" s="4">
        <v>1</v>
      </c>
      <c r="C55" s="4" t="s">
        <v>27</v>
      </c>
      <c r="D55" s="4"/>
      <c r="E55" s="4"/>
      <c r="F55" s="4">
        <v>84</v>
      </c>
      <c r="G55" s="4" t="s">
        <v>211</v>
      </c>
      <c r="H55" s="4"/>
      <c r="I55" s="4"/>
      <c r="J55" s="4">
        <v>6.08</v>
      </c>
      <c r="K55" s="4">
        <v>3</v>
      </c>
      <c r="L55" s="4"/>
      <c r="M55" s="4" t="s">
        <v>18</v>
      </c>
      <c r="N55" s="4">
        <v>86</v>
      </c>
      <c r="O55" s="3">
        <f>=B55*(N55*F55/10000)*J55</f>
      </c>
    </row>
    <row r="56" spans="1:15" x14ac:dyDescent="0.25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5" t="s">
        <v>25</v>
      </c>
      <c r="O56" s="6">
        <f>=SUM(O2:O55)</f>
      </c>
    </row>
  </sheetData>
  <sheetProtection sheet="1" algorithmName="SHA-512" hashValue="Yml0MfTowvWvDqukftb2OFUOIw9f+SczWSEA0+V0OyIkopccc7tOdEofoaSxKsBqDqmJ0Ab8g3gPcuRx5TDrJw==" saltValue="T24AmLP7/8gMj8/cCByMH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212</v>
      </c>
      <c r="B2" s="4">
        <v>1</v>
      </c>
      <c r="C2" s="4" t="s">
        <v>27</v>
      </c>
      <c r="D2" s="4"/>
      <c r="E2" s="4"/>
      <c r="F2" s="4">
        <v>19.5</v>
      </c>
      <c r="G2" s="4" t="s">
        <v>213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214</v>
      </c>
      <c r="B3" s="4">
        <v>1</v>
      </c>
      <c r="C3" s="4" t="s">
        <v>27</v>
      </c>
      <c r="D3" s="4"/>
      <c r="E3" s="4"/>
      <c r="F3" s="4">
        <v>10</v>
      </c>
      <c r="G3" s="4" t="s">
        <v>215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216</v>
      </c>
      <c r="B4" s="4">
        <v>1</v>
      </c>
      <c r="C4" s="4" t="s">
        <v>27</v>
      </c>
      <c r="D4" s="4"/>
      <c r="E4" s="4"/>
      <c r="F4" s="4">
        <v>27</v>
      </c>
      <c r="G4" s="4" t="s">
        <v>217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218</v>
      </c>
      <c r="B5" s="4">
        <v>1</v>
      </c>
      <c r="C5" s="4" t="s">
        <v>27</v>
      </c>
      <c r="D5" s="4"/>
      <c r="E5" s="4"/>
      <c r="F5" s="4">
        <v>67</v>
      </c>
      <c r="G5" s="4" t="s">
        <v>219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220</v>
      </c>
      <c r="B6" s="4">
        <v>1</v>
      </c>
      <c r="C6" s="4" t="s">
        <v>27</v>
      </c>
      <c r="D6" s="4"/>
      <c r="E6" s="4"/>
      <c r="F6" s="4">
        <v>78</v>
      </c>
      <c r="G6" s="4" t="s">
        <v>221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222</v>
      </c>
      <c r="B7" s="4">
        <v>1</v>
      </c>
      <c r="C7" s="4" t="s">
        <v>27</v>
      </c>
      <c r="D7" s="4"/>
      <c r="E7" s="4"/>
      <c r="F7" s="4">
        <v>90</v>
      </c>
      <c r="G7" s="4" t="s">
        <v>223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224</v>
      </c>
      <c r="B8" s="4">
        <v>1</v>
      </c>
      <c r="C8" s="4" t="s">
        <v>27</v>
      </c>
      <c r="D8" s="4"/>
      <c r="E8" s="4"/>
      <c r="F8" s="4">
        <v>19</v>
      </c>
      <c r="G8" s="4" t="s">
        <v>225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226</v>
      </c>
      <c r="B9" s="4">
        <v>1</v>
      </c>
      <c r="C9" s="4" t="s">
        <v>27</v>
      </c>
      <c r="D9" s="4"/>
      <c r="E9" s="4"/>
      <c r="F9" s="4">
        <v>15</v>
      </c>
      <c r="G9" s="4" t="s">
        <v>227</v>
      </c>
      <c r="H9" s="4"/>
      <c r="I9" s="4"/>
      <c r="J9" s="4">
        <v>6.08</v>
      </c>
      <c r="K9" s="4"/>
      <c r="L9" s="4"/>
      <c r="M9" s="4" t="s">
        <v>18</v>
      </c>
      <c r="N9" s="4">
        <v>150</v>
      </c>
      <c r="O9" s="3">
        <f>=B9*(N9*F9/10000)*J9</f>
      </c>
    </row>
    <row r="10" spans="1:15" x14ac:dyDescent="0.25">
      <c r="A10" s="2" t="s">
        <v>228</v>
      </c>
      <c r="B10" s="4">
        <v>1</v>
      </c>
      <c r="C10" s="4" t="s">
        <v>27</v>
      </c>
      <c r="D10" s="4"/>
      <c r="E10" s="4"/>
      <c r="F10" s="4">
        <v>63</v>
      </c>
      <c r="G10" s="4" t="s">
        <v>229</v>
      </c>
      <c r="H10" s="4"/>
      <c r="I10" s="4"/>
      <c r="J10" s="4">
        <v>6.08</v>
      </c>
      <c r="K10" s="4"/>
      <c r="L10" s="4"/>
      <c r="M10" s="4" t="s">
        <v>18</v>
      </c>
      <c r="N10" s="4">
        <v>16</v>
      </c>
      <c r="O10" s="3">
        <f>=B10*(N10*F10/10000)*J10</f>
      </c>
    </row>
    <row r="11" spans="1:15" x14ac:dyDescent="0.25">
      <c r="A11" s="2" t="s">
        <v>230</v>
      </c>
      <c r="B11" s="4">
        <v>73</v>
      </c>
      <c r="C11" s="4" t="s">
        <v>27</v>
      </c>
      <c r="D11" s="4"/>
      <c r="E11" s="4"/>
      <c r="F11" s="4">
        <v>10</v>
      </c>
      <c r="G11" s="4" t="s">
        <v>231</v>
      </c>
      <c r="H11" s="4"/>
      <c r="I11" s="4"/>
      <c r="J11" s="4">
        <v>6.08</v>
      </c>
      <c r="K11" s="4"/>
      <c r="L11" s="4"/>
      <c r="M11" s="4" t="s">
        <v>18</v>
      </c>
      <c r="N11" s="4">
        <v>20</v>
      </c>
      <c r="O11" s="3">
        <f>=B11*(N11*F11/10000)*J11</f>
      </c>
    </row>
    <row r="12" spans="1:15" x14ac:dyDescent="0.25">
      <c r="A12" s="2" t="s">
        <v>232</v>
      </c>
      <c r="B12" s="4">
        <v>42</v>
      </c>
      <c r="C12" s="4" t="s">
        <v>27</v>
      </c>
      <c r="D12" s="4"/>
      <c r="E12" s="4"/>
      <c r="F12" s="4">
        <v>15</v>
      </c>
      <c r="G12" s="4" t="s">
        <v>233</v>
      </c>
      <c r="H12" s="4"/>
      <c r="I12" s="4"/>
      <c r="J12" s="4">
        <v>6.08</v>
      </c>
      <c r="K12" s="4"/>
      <c r="L12" s="4"/>
      <c r="M12" s="4" t="s">
        <v>18</v>
      </c>
      <c r="N12" s="4">
        <v>21</v>
      </c>
      <c r="O12" s="3">
        <f>=B12*(N12*F12/10000)*J12</f>
      </c>
    </row>
    <row r="13" spans="1:15" x14ac:dyDescent="0.25">
      <c r="A13" s="2" t="s">
        <v>234</v>
      </c>
      <c r="B13" s="4">
        <v>1</v>
      </c>
      <c r="C13" s="4" t="s">
        <v>27</v>
      </c>
      <c r="D13" s="4"/>
      <c r="E13" s="4"/>
      <c r="F13" s="4">
        <v>31</v>
      </c>
      <c r="G13" s="4" t="s">
        <v>235</v>
      </c>
      <c r="H13" s="4"/>
      <c r="I13" s="4"/>
      <c r="J13" s="4">
        <v>6.08</v>
      </c>
      <c r="K13" s="4"/>
      <c r="L13" s="4"/>
      <c r="M13" s="4" t="s">
        <v>18</v>
      </c>
      <c r="N13" s="4">
        <v>22</v>
      </c>
      <c r="O13" s="3">
        <f>=B13*(N13*F13/10000)*J13</f>
      </c>
    </row>
    <row r="14" spans="1:15" x14ac:dyDescent="0.25">
      <c r="A14" s="2" t="s">
        <v>236</v>
      </c>
      <c r="B14" s="4">
        <v>1</v>
      </c>
      <c r="C14" s="4" t="s">
        <v>27</v>
      </c>
      <c r="D14" s="4"/>
      <c r="E14" s="4"/>
      <c r="F14" s="4">
        <v>50</v>
      </c>
      <c r="G14" s="4" t="s">
        <v>237</v>
      </c>
      <c r="H14" s="4"/>
      <c r="I14" s="4"/>
      <c r="J14" s="4">
        <v>6.08</v>
      </c>
      <c r="K14" s="4"/>
      <c r="L14" s="4"/>
      <c r="M14" s="4" t="s">
        <v>18</v>
      </c>
      <c r="N14" s="4">
        <v>23.5</v>
      </c>
      <c r="O14" s="3">
        <f>=B14*(N14*F14/10000)*J14</f>
      </c>
    </row>
    <row r="15" spans="1:15" x14ac:dyDescent="0.25">
      <c r="A15" s="2" t="s">
        <v>238</v>
      </c>
      <c r="B15" s="4">
        <v>1</v>
      </c>
      <c r="C15" s="4" t="s">
        <v>27</v>
      </c>
      <c r="D15" s="4"/>
      <c r="E15" s="4"/>
      <c r="F15" s="4">
        <v>18</v>
      </c>
      <c r="G15" s="4" t="s">
        <v>239</v>
      </c>
      <c r="H15" s="4"/>
      <c r="I15" s="4"/>
      <c r="J15" s="4">
        <v>6.08</v>
      </c>
      <c r="K15" s="4"/>
      <c r="L15" s="4"/>
      <c r="M15" s="4" t="s">
        <v>18</v>
      </c>
      <c r="N15" s="4">
        <v>245</v>
      </c>
      <c r="O15" s="3">
        <f>=B15*(N15*F15/10000)*J15</f>
      </c>
    </row>
    <row r="16" spans="1:15" x14ac:dyDescent="0.25">
      <c r="A16" s="2" t="s">
        <v>240</v>
      </c>
      <c r="B16" s="4">
        <v>1</v>
      </c>
      <c r="C16" s="4" t="s">
        <v>27</v>
      </c>
      <c r="D16" s="4"/>
      <c r="E16" s="4"/>
      <c r="F16" s="4">
        <v>42</v>
      </c>
      <c r="G16" s="4" t="s">
        <v>241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242</v>
      </c>
      <c r="B17" s="4">
        <v>1</v>
      </c>
      <c r="C17" s="4" t="s">
        <v>27</v>
      </c>
      <c r="D17" s="4"/>
      <c r="E17" s="4"/>
      <c r="F17" s="4">
        <v>64</v>
      </c>
      <c r="G17" s="4" t="s">
        <v>243</v>
      </c>
      <c r="H17" s="4"/>
      <c r="I17" s="4"/>
      <c r="J17" s="4">
        <v>6.08</v>
      </c>
      <c r="K17" s="4"/>
      <c r="L17" s="4"/>
      <c r="M17" s="4" t="s">
        <v>18</v>
      </c>
      <c r="N17" s="4">
        <v>25</v>
      </c>
      <c r="O17" s="3">
        <f>=B17*(N17*F17/10000)*J17</f>
      </c>
    </row>
    <row r="18" spans="1:15" x14ac:dyDescent="0.25">
      <c r="A18" s="2" t="s">
        <v>244</v>
      </c>
      <c r="B18" s="4">
        <v>1</v>
      </c>
      <c r="C18" s="4" t="s">
        <v>27</v>
      </c>
      <c r="D18" s="4"/>
      <c r="E18" s="4"/>
      <c r="F18" s="4">
        <v>78</v>
      </c>
      <c r="G18" s="4" t="s">
        <v>245</v>
      </c>
      <c r="H18" s="4"/>
      <c r="I18" s="4"/>
      <c r="J18" s="4">
        <v>6.08</v>
      </c>
      <c r="K18" s="4"/>
      <c r="L18" s="4"/>
      <c r="M18" s="4" t="s">
        <v>18</v>
      </c>
      <c r="N18" s="4">
        <v>25</v>
      </c>
      <c r="O18" s="3">
        <f>=B18*(N18*F18/10000)*J18</f>
      </c>
    </row>
    <row r="19" spans="1:15" x14ac:dyDescent="0.25">
      <c r="A19" s="2" t="s">
        <v>246</v>
      </c>
      <c r="B19" s="4">
        <v>1</v>
      </c>
      <c r="C19" s="4" t="s">
        <v>27</v>
      </c>
      <c r="D19" s="4"/>
      <c r="E19" s="4"/>
      <c r="F19" s="4">
        <v>90</v>
      </c>
      <c r="G19" s="4" t="s">
        <v>247</v>
      </c>
      <c r="H19" s="4"/>
      <c r="I19" s="4"/>
      <c r="J19" s="4">
        <v>6.08</v>
      </c>
      <c r="K19" s="4"/>
      <c r="L19" s="4"/>
      <c r="M19" s="4" t="s">
        <v>18</v>
      </c>
      <c r="N19" s="4">
        <v>26</v>
      </c>
      <c r="O19" s="3">
        <f>=B19*(N19*F19/10000)*J19</f>
      </c>
    </row>
    <row r="20" spans="1:15" x14ac:dyDescent="0.25">
      <c r="A20" s="2" t="s">
        <v>248</v>
      </c>
      <c r="B20" s="4">
        <v>1</v>
      </c>
      <c r="C20" s="4" t="s">
        <v>27</v>
      </c>
      <c r="D20" s="4"/>
      <c r="E20" s="4"/>
      <c r="F20" s="4">
        <v>43</v>
      </c>
      <c r="G20" s="4" t="s">
        <v>249</v>
      </c>
      <c r="H20" s="4"/>
      <c r="I20" s="4"/>
      <c r="J20" s="4">
        <v>6.08</v>
      </c>
      <c r="K20" s="4"/>
      <c r="L20" s="4"/>
      <c r="M20" s="4" t="s">
        <v>18</v>
      </c>
      <c r="N20" s="4">
        <v>27</v>
      </c>
      <c r="O20" s="3">
        <f>=B20*(N20*F20/10000)*J20</f>
      </c>
    </row>
    <row r="21" spans="1:15" x14ac:dyDescent="0.25">
      <c r="A21" s="2" t="s">
        <v>250</v>
      </c>
      <c r="B21" s="4">
        <v>1</v>
      </c>
      <c r="C21" s="4" t="s">
        <v>27</v>
      </c>
      <c r="D21" s="4"/>
      <c r="E21" s="4"/>
      <c r="F21" s="4">
        <v>42</v>
      </c>
      <c r="G21" s="4" t="s">
        <v>251</v>
      </c>
      <c r="H21" s="4"/>
      <c r="I21" s="4"/>
      <c r="J21" s="4">
        <v>6.08</v>
      </c>
      <c r="K21" s="4"/>
      <c r="L21" s="4"/>
      <c r="M21" s="4" t="s">
        <v>18</v>
      </c>
      <c r="N21" s="4">
        <v>27</v>
      </c>
      <c r="O21" s="3">
        <f>=B21*(N21*F21/10000)*J21</f>
      </c>
    </row>
    <row r="22" spans="1:15" x14ac:dyDescent="0.25">
      <c r="A22" s="2" t="s">
        <v>252</v>
      </c>
      <c r="B22" s="4">
        <v>1</v>
      </c>
      <c r="C22" s="4" t="s">
        <v>27</v>
      </c>
      <c r="D22" s="4"/>
      <c r="E22" s="4"/>
      <c r="F22" s="4">
        <v>33</v>
      </c>
      <c r="G22" s="4" t="s">
        <v>253</v>
      </c>
      <c r="H22" s="4"/>
      <c r="I22" s="4"/>
      <c r="J22" s="4">
        <v>6.08</v>
      </c>
      <c r="K22" s="4"/>
      <c r="L22" s="4"/>
      <c r="M22" s="4" t="s">
        <v>18</v>
      </c>
      <c r="N22" s="4">
        <v>28</v>
      </c>
      <c r="O22" s="3">
        <f>=B22*(N22*F22/10000)*J22</f>
      </c>
    </row>
    <row r="23" spans="1:15" x14ac:dyDescent="0.25">
      <c r="A23" s="2" t="s">
        <v>254</v>
      </c>
      <c r="B23" s="4">
        <v>1</v>
      </c>
      <c r="C23" s="4" t="s">
        <v>27</v>
      </c>
      <c r="D23" s="4"/>
      <c r="E23" s="4"/>
      <c r="F23" s="4">
        <v>19</v>
      </c>
      <c r="G23" s="4" t="s">
        <v>255</v>
      </c>
      <c r="H23" s="4"/>
      <c r="I23" s="4"/>
      <c r="J23" s="4">
        <v>6.08</v>
      </c>
      <c r="K23" s="4"/>
      <c r="L23" s="4"/>
      <c r="M23" s="4" t="s">
        <v>18</v>
      </c>
      <c r="N23" s="4">
        <v>29.5</v>
      </c>
      <c r="O23" s="3">
        <f>=B23*(N23*F23/10000)*J23</f>
      </c>
    </row>
    <row r="24" spans="1:15" x14ac:dyDescent="0.25">
      <c r="A24" s="2" t="s">
        <v>256</v>
      </c>
      <c r="B24" s="4">
        <v>1</v>
      </c>
      <c r="C24" s="4" t="s">
        <v>27</v>
      </c>
      <c r="D24" s="4"/>
      <c r="E24" s="4"/>
      <c r="F24" s="4">
        <v>34</v>
      </c>
      <c r="G24" s="4" t="s">
        <v>257</v>
      </c>
      <c r="H24" s="4"/>
      <c r="I24" s="4"/>
      <c r="J24" s="4">
        <v>6.08</v>
      </c>
      <c r="K24" s="4"/>
      <c r="L24" s="4"/>
      <c r="M24" s="4" t="s">
        <v>18</v>
      </c>
      <c r="N24" s="4">
        <v>29</v>
      </c>
      <c r="O24" s="3">
        <f>=B24*(N24*F24/10000)*J24</f>
      </c>
    </row>
    <row r="25" spans="1:15" x14ac:dyDescent="0.25">
      <c r="A25" s="2" t="s">
        <v>258</v>
      </c>
      <c r="B25" s="4">
        <v>1</v>
      </c>
      <c r="C25" s="4" t="s">
        <v>27</v>
      </c>
      <c r="D25" s="4"/>
      <c r="E25" s="4"/>
      <c r="F25" s="4">
        <v>27.5</v>
      </c>
      <c r="G25" s="4" t="s">
        <v>259</v>
      </c>
      <c r="H25" s="4"/>
      <c r="I25" s="4"/>
      <c r="J25" s="4">
        <v>6.08</v>
      </c>
      <c r="K25" s="4"/>
      <c r="L25" s="4"/>
      <c r="M25" s="4" t="s">
        <v>18</v>
      </c>
      <c r="N25" s="4">
        <v>30</v>
      </c>
      <c r="O25" s="3">
        <f>=B25*(N25*F25/10000)*J25</f>
      </c>
    </row>
    <row r="26" spans="1:15" x14ac:dyDescent="0.25">
      <c r="A26" s="2" t="s">
        <v>260</v>
      </c>
      <c r="B26" s="4">
        <v>1</v>
      </c>
      <c r="C26" s="4" t="s">
        <v>27</v>
      </c>
      <c r="D26" s="4"/>
      <c r="E26" s="4"/>
      <c r="F26" s="4">
        <v>44</v>
      </c>
      <c r="G26" s="4" t="s">
        <v>261</v>
      </c>
      <c r="H26" s="4"/>
      <c r="I26" s="4"/>
      <c r="J26" s="4">
        <v>6.08</v>
      </c>
      <c r="K26" s="4"/>
      <c r="L26" s="4"/>
      <c r="M26" s="4" t="s">
        <v>18</v>
      </c>
      <c r="N26" s="4">
        <v>32</v>
      </c>
      <c r="O26" s="3">
        <f>=B26*(N26*F26/10000)*J26</f>
      </c>
    </row>
    <row r="27" spans="1:15" x14ac:dyDescent="0.25">
      <c r="A27" s="2" t="s">
        <v>262</v>
      </c>
      <c r="B27" s="4">
        <v>1</v>
      </c>
      <c r="C27" s="4" t="s">
        <v>27</v>
      </c>
      <c r="D27" s="4"/>
      <c r="E27" s="4"/>
      <c r="F27" s="4">
        <v>32</v>
      </c>
      <c r="G27" s="4" t="s">
        <v>263</v>
      </c>
      <c r="H27" s="4"/>
      <c r="I27" s="4"/>
      <c r="J27" s="4">
        <v>6.08</v>
      </c>
      <c r="K27" s="4"/>
      <c r="L27" s="4"/>
      <c r="M27" s="4" t="s">
        <v>18</v>
      </c>
      <c r="N27" s="4">
        <v>36</v>
      </c>
      <c r="O27" s="3">
        <f>=B27*(N27*F27/10000)*J27</f>
      </c>
    </row>
    <row r="28" spans="1:15" x14ac:dyDescent="0.25">
      <c r="A28" s="2" t="s">
        <v>264</v>
      </c>
      <c r="B28" s="4">
        <v>1</v>
      </c>
      <c r="C28" s="4" t="s">
        <v>27</v>
      </c>
      <c r="D28" s="4"/>
      <c r="E28" s="4"/>
      <c r="F28" s="4">
        <v>30</v>
      </c>
      <c r="G28" s="4" t="s">
        <v>265</v>
      </c>
      <c r="H28" s="4"/>
      <c r="I28" s="4"/>
      <c r="J28" s="4">
        <v>6.08</v>
      </c>
      <c r="K28" s="4"/>
      <c r="L28" s="4"/>
      <c r="M28" s="4" t="s">
        <v>18</v>
      </c>
      <c r="N28" s="4">
        <v>375</v>
      </c>
      <c r="O28" s="3">
        <f>=B28*(N28*F28/10000)*J28</f>
      </c>
    </row>
    <row r="29" spans="1:15" x14ac:dyDescent="0.25">
      <c r="A29" s="2" t="s">
        <v>266</v>
      </c>
      <c r="B29" s="4">
        <v>1</v>
      </c>
      <c r="C29" s="4" t="s">
        <v>27</v>
      </c>
      <c r="D29" s="4"/>
      <c r="E29" s="4"/>
      <c r="F29" s="4">
        <v>15.5</v>
      </c>
      <c r="G29" s="4" t="s">
        <v>267</v>
      </c>
      <c r="H29" s="4"/>
      <c r="I29" s="4"/>
      <c r="J29" s="4">
        <v>6.08</v>
      </c>
      <c r="K29" s="4"/>
      <c r="L29" s="4"/>
      <c r="M29" s="4" t="s">
        <v>18</v>
      </c>
      <c r="N29" s="4">
        <v>39</v>
      </c>
      <c r="O29" s="3">
        <f>=B29*(N29*F29/10000)*J29</f>
      </c>
    </row>
    <row r="30" spans="1:15" x14ac:dyDescent="0.25">
      <c r="A30" s="2" t="s">
        <v>268</v>
      </c>
      <c r="B30" s="4">
        <v>1</v>
      </c>
      <c r="C30" s="4" t="s">
        <v>27</v>
      </c>
      <c r="D30" s="4"/>
      <c r="E30" s="4"/>
      <c r="F30" s="4">
        <v>18</v>
      </c>
      <c r="G30" s="4" t="s">
        <v>269</v>
      </c>
      <c r="H30" s="4"/>
      <c r="I30" s="4"/>
      <c r="J30" s="4">
        <v>6.08</v>
      </c>
      <c r="K30" s="4"/>
      <c r="L30" s="4"/>
      <c r="M30" s="4" t="s">
        <v>18</v>
      </c>
      <c r="N30" s="4">
        <v>40</v>
      </c>
      <c r="O30" s="3">
        <f>=B30*(N30*F30/10000)*J30</f>
      </c>
    </row>
    <row r="31" spans="1:15" x14ac:dyDescent="0.25">
      <c r="A31" s="2" t="s">
        <v>270</v>
      </c>
      <c r="B31" s="4">
        <v>1</v>
      </c>
      <c r="C31" s="4" t="s">
        <v>27</v>
      </c>
      <c r="D31" s="4"/>
      <c r="E31" s="4"/>
      <c r="F31" s="4">
        <v>40</v>
      </c>
      <c r="G31" s="4" t="s">
        <v>271</v>
      </c>
      <c r="H31" s="4"/>
      <c r="I31" s="4"/>
      <c r="J31" s="4">
        <v>6.08</v>
      </c>
      <c r="K31" s="4"/>
      <c r="L31" s="4"/>
      <c r="M31" s="4" t="s">
        <v>18</v>
      </c>
      <c r="N31" s="4">
        <v>40</v>
      </c>
      <c r="O31" s="3">
        <f>=B31*(N31*F31/10000)*J31</f>
      </c>
    </row>
    <row r="32" spans="1:15" x14ac:dyDescent="0.25">
      <c r="A32" s="2" t="s">
        <v>272</v>
      </c>
      <c r="B32" s="4">
        <v>1</v>
      </c>
      <c r="C32" s="4" t="s">
        <v>27</v>
      </c>
      <c r="D32" s="4"/>
      <c r="E32" s="4"/>
      <c r="F32" s="4">
        <v>46</v>
      </c>
      <c r="G32" s="4" t="s">
        <v>273</v>
      </c>
      <c r="H32" s="4"/>
      <c r="I32" s="4"/>
      <c r="J32" s="4">
        <v>6.08</v>
      </c>
      <c r="K32" s="4"/>
      <c r="L32" s="4"/>
      <c r="M32" s="4" t="s">
        <v>18</v>
      </c>
      <c r="N32" s="4">
        <v>47</v>
      </c>
      <c r="O32" s="3">
        <f>=B32*(N32*F32/10000)*J32</f>
      </c>
    </row>
    <row r="33" spans="1:15" x14ac:dyDescent="0.25">
      <c r="A33" s="2" t="s">
        <v>274</v>
      </c>
      <c r="B33" s="4">
        <v>1</v>
      </c>
      <c r="C33" s="4" t="s">
        <v>27</v>
      </c>
      <c r="D33" s="4"/>
      <c r="E33" s="4"/>
      <c r="F33" s="4">
        <v>29</v>
      </c>
      <c r="G33" s="4" t="s">
        <v>275</v>
      </c>
      <c r="H33" s="4"/>
      <c r="I33" s="4"/>
      <c r="J33" s="4">
        <v>6.08</v>
      </c>
      <c r="K33" s="4"/>
      <c r="L33" s="4"/>
      <c r="M33" s="4" t="s">
        <v>18</v>
      </c>
      <c r="N33" s="4">
        <v>49</v>
      </c>
      <c r="O33" s="3">
        <f>=B33*(N33*F33/10000)*J33</f>
      </c>
    </row>
    <row r="34" spans="1:15" x14ac:dyDescent="0.25">
      <c r="A34" s="2" t="s">
        <v>276</v>
      </c>
      <c r="B34" s="4">
        <v>1</v>
      </c>
      <c r="C34" s="4" t="s">
        <v>27</v>
      </c>
      <c r="D34" s="4"/>
      <c r="E34" s="4"/>
      <c r="F34" s="4">
        <v>41</v>
      </c>
      <c r="G34" s="4" t="s">
        <v>277</v>
      </c>
      <c r="H34" s="4"/>
      <c r="I34" s="4"/>
      <c r="J34" s="4">
        <v>6.08</v>
      </c>
      <c r="K34" s="4"/>
      <c r="L34" s="4"/>
      <c r="M34" s="4" t="s">
        <v>18</v>
      </c>
      <c r="N34" s="4">
        <v>49</v>
      </c>
      <c r="O34" s="3">
        <f>=B34*(N34*F34/10000)*J34</f>
      </c>
    </row>
    <row r="35" spans="1:15" x14ac:dyDescent="0.25">
      <c r="A35" s="2" t="s">
        <v>278</v>
      </c>
      <c r="B35" s="4">
        <v>1</v>
      </c>
      <c r="C35" s="4" t="s">
        <v>27</v>
      </c>
      <c r="D35" s="4"/>
      <c r="E35" s="4"/>
      <c r="F35" s="4">
        <v>48</v>
      </c>
      <c r="G35" s="4" t="s">
        <v>279</v>
      </c>
      <c r="H35" s="4"/>
      <c r="I35" s="4"/>
      <c r="J35" s="4">
        <v>6.08</v>
      </c>
      <c r="K35" s="4"/>
      <c r="L35" s="4"/>
      <c r="M35" s="4" t="s">
        <v>18</v>
      </c>
      <c r="N35" s="4">
        <v>49</v>
      </c>
      <c r="O35" s="3">
        <f>=B35*(N35*F35/10000)*J35</f>
      </c>
    </row>
    <row r="36" spans="1:15" x14ac:dyDescent="0.25">
      <c r="A36" s="2" t="s">
        <v>280</v>
      </c>
      <c r="B36" s="4">
        <v>3</v>
      </c>
      <c r="C36" s="4" t="s">
        <v>27</v>
      </c>
      <c r="D36" s="4"/>
      <c r="E36" s="4"/>
      <c r="F36" s="4">
        <v>50</v>
      </c>
      <c r="G36" s="4" t="s">
        <v>281</v>
      </c>
      <c r="H36" s="4"/>
      <c r="I36" s="4"/>
      <c r="J36" s="4">
        <v>6.08</v>
      </c>
      <c r="K36" s="4"/>
      <c r="L36" s="4"/>
      <c r="M36" s="4" t="s">
        <v>18</v>
      </c>
      <c r="N36" s="4">
        <v>50</v>
      </c>
      <c r="O36" s="3">
        <f>=B36*(N36*F36/10000)*J36</f>
      </c>
    </row>
    <row r="37" spans="1:15" x14ac:dyDescent="0.25">
      <c r="A37" s="2" t="s">
        <v>282</v>
      </c>
      <c r="B37" s="4">
        <v>1</v>
      </c>
      <c r="C37" s="4" t="s">
        <v>27</v>
      </c>
      <c r="D37" s="4"/>
      <c r="E37" s="4"/>
      <c r="F37" s="4">
        <v>10</v>
      </c>
      <c r="G37" s="4" t="s">
        <v>283</v>
      </c>
      <c r="H37" s="4"/>
      <c r="I37" s="4"/>
      <c r="J37" s="4">
        <v>6.08</v>
      </c>
      <c r="K37" s="4"/>
      <c r="L37" s="4"/>
      <c r="M37" s="4" t="s">
        <v>18</v>
      </c>
      <c r="N37" s="4">
        <v>50</v>
      </c>
      <c r="O37" s="3">
        <f>=B37*(N37*F37/10000)*J37</f>
      </c>
    </row>
    <row r="38" spans="1:15" x14ac:dyDescent="0.25">
      <c r="A38" s="2" t="s">
        <v>284</v>
      </c>
      <c r="B38" s="4">
        <v>1</v>
      </c>
      <c r="C38" s="4" t="s">
        <v>27</v>
      </c>
      <c r="D38" s="4"/>
      <c r="E38" s="4"/>
      <c r="F38" s="4">
        <v>14</v>
      </c>
      <c r="G38" s="4" t="s">
        <v>285</v>
      </c>
      <c r="H38" s="4"/>
      <c r="I38" s="4"/>
      <c r="J38" s="4">
        <v>6.08</v>
      </c>
      <c r="K38" s="4"/>
      <c r="L38" s="4"/>
      <c r="M38" s="4" t="s">
        <v>18</v>
      </c>
      <c r="N38" s="4">
        <v>50</v>
      </c>
      <c r="O38" s="3">
        <f>=B38*(N38*F38/10000)*J38</f>
      </c>
    </row>
    <row r="39" spans="1:15" x14ac:dyDescent="0.25">
      <c r="A39" s="2" t="s">
        <v>286</v>
      </c>
      <c r="B39" s="4">
        <v>1</v>
      </c>
      <c r="C39" s="4" t="s">
        <v>27</v>
      </c>
      <c r="D39" s="4"/>
      <c r="E39" s="4"/>
      <c r="F39" s="4">
        <v>46</v>
      </c>
      <c r="G39" s="4" t="s">
        <v>287</v>
      </c>
      <c r="H39" s="4"/>
      <c r="I39" s="4"/>
      <c r="J39" s="4">
        <v>6.08</v>
      </c>
      <c r="K39" s="4"/>
      <c r="L39" s="4"/>
      <c r="M39" s="4" t="s">
        <v>18</v>
      </c>
      <c r="N39" s="4">
        <v>52</v>
      </c>
      <c r="O39" s="3">
        <f>=B39*(N39*F39/10000)*J39</f>
      </c>
    </row>
    <row r="40" spans="1:15" x14ac:dyDescent="0.25">
      <c r="A40" s="2" t="s">
        <v>288</v>
      </c>
      <c r="B40" s="4">
        <v>1</v>
      </c>
      <c r="C40" s="4" t="s">
        <v>27</v>
      </c>
      <c r="D40" s="4"/>
      <c r="E40" s="4"/>
      <c r="F40" s="4">
        <v>40</v>
      </c>
      <c r="G40" s="4" t="s">
        <v>289</v>
      </c>
      <c r="H40" s="4"/>
      <c r="I40" s="4"/>
      <c r="J40" s="4">
        <v>6.08</v>
      </c>
      <c r="K40" s="4"/>
      <c r="L40" s="4"/>
      <c r="M40" s="4" t="s">
        <v>18</v>
      </c>
      <c r="N40" s="4">
        <v>55</v>
      </c>
      <c r="O40" s="3">
        <f>=B40*(N40*F40/10000)*J40</f>
      </c>
    </row>
    <row r="41" spans="1:15" x14ac:dyDescent="0.25">
      <c r="A41" s="2" t="s">
        <v>290</v>
      </c>
      <c r="B41" s="4">
        <v>1</v>
      </c>
      <c r="C41" s="4" t="s">
        <v>27</v>
      </c>
      <c r="D41" s="4"/>
      <c r="E41" s="4"/>
      <c r="F41" s="4">
        <v>16</v>
      </c>
      <c r="G41" s="4" t="s">
        <v>291</v>
      </c>
      <c r="H41" s="4"/>
      <c r="I41" s="4"/>
      <c r="J41" s="4">
        <v>6.08</v>
      </c>
      <c r="K41" s="4"/>
      <c r="L41" s="4"/>
      <c r="M41" s="4" t="s">
        <v>18</v>
      </c>
      <c r="N41" s="4">
        <v>62</v>
      </c>
      <c r="O41" s="3">
        <f>=B41*(N41*F41/10000)*J41</f>
      </c>
    </row>
    <row r="42" spans="1:15" x14ac:dyDescent="0.25">
      <c r="A42" s="2" t="s">
        <v>292</v>
      </c>
      <c r="B42" s="4">
        <v>1</v>
      </c>
      <c r="C42" s="4" t="s">
        <v>27</v>
      </c>
      <c r="D42" s="4"/>
      <c r="E42" s="4"/>
      <c r="F42" s="4">
        <v>30</v>
      </c>
      <c r="G42" s="4" t="s">
        <v>293</v>
      </c>
      <c r="H42" s="4"/>
      <c r="I42" s="4"/>
      <c r="J42" s="4">
        <v>6.08</v>
      </c>
      <c r="K42" s="4"/>
      <c r="L42" s="4"/>
      <c r="M42" s="4" t="s">
        <v>18</v>
      </c>
      <c r="N42" s="4">
        <v>62</v>
      </c>
      <c r="O42" s="3">
        <f>=B42*(N42*F42/10000)*J42</f>
      </c>
    </row>
    <row r="43" spans="1:15" x14ac:dyDescent="0.25">
      <c r="A43" s="2" t="s">
        <v>294</v>
      </c>
      <c r="B43" s="4">
        <v>1</v>
      </c>
      <c r="C43" s="4" t="s">
        <v>27</v>
      </c>
      <c r="D43" s="4"/>
      <c r="E43" s="4"/>
      <c r="F43" s="4">
        <v>19</v>
      </c>
      <c r="G43" s="4" t="s">
        <v>295</v>
      </c>
      <c r="H43" s="4"/>
      <c r="I43" s="4"/>
      <c r="J43" s="4">
        <v>6.08</v>
      </c>
      <c r="K43" s="4"/>
      <c r="L43" s="4"/>
      <c r="M43" s="4" t="s">
        <v>18</v>
      </c>
      <c r="N43" s="4">
        <v>66</v>
      </c>
      <c r="O43" s="3">
        <f>=B43*(N43*F43/10000)*J43</f>
      </c>
    </row>
    <row r="44" spans="1:15" x14ac:dyDescent="0.25">
      <c r="A44" s="2" t="s">
        <v>296</v>
      </c>
      <c r="B44" s="4">
        <v>3</v>
      </c>
      <c r="C44" s="4" t="s">
        <v>27</v>
      </c>
      <c r="D44" s="4"/>
      <c r="E44" s="4"/>
      <c r="F44" s="4">
        <v>20</v>
      </c>
      <c r="G44" s="4" t="s">
        <v>297</v>
      </c>
      <c r="H44" s="4"/>
      <c r="I44" s="4"/>
      <c r="J44" s="4">
        <v>6.08</v>
      </c>
      <c r="K44" s="4"/>
      <c r="L44" s="4"/>
      <c r="M44" s="4" t="s">
        <v>18</v>
      </c>
      <c r="N44" s="4">
        <v>70</v>
      </c>
      <c r="O44" s="3">
        <f>=B44*(N44*F44/10000)*J44</f>
      </c>
    </row>
    <row r="45" spans="1:15" x14ac:dyDescent="0.25">
      <c r="A45" s="2" t="s">
        <v>298</v>
      </c>
      <c r="B45" s="4">
        <v>1</v>
      </c>
      <c r="C45" s="4" t="s">
        <v>27</v>
      </c>
      <c r="D45" s="4"/>
      <c r="E45" s="4"/>
      <c r="F45" s="4">
        <v>22</v>
      </c>
      <c r="G45" s="4" t="s">
        <v>299</v>
      </c>
      <c r="H45" s="4"/>
      <c r="I45" s="4"/>
      <c r="J45" s="4">
        <v>6.08</v>
      </c>
      <c r="K45" s="4"/>
      <c r="L45" s="4"/>
      <c r="M45" s="4" t="s">
        <v>18</v>
      </c>
      <c r="N45" s="4">
        <v>71</v>
      </c>
      <c r="O45" s="3">
        <f>=B45*(N45*F45/10000)*J45</f>
      </c>
    </row>
    <row r="46" spans="1:15" x14ac:dyDescent="0.25">
      <c r="A46" s="2" t="s">
        <v>300</v>
      </c>
      <c r="B46" s="4">
        <v>1</v>
      </c>
      <c r="C46" s="4" t="s">
        <v>27</v>
      </c>
      <c r="D46" s="4"/>
      <c r="E46" s="4"/>
      <c r="F46" s="4">
        <v>16</v>
      </c>
      <c r="G46" s="4" t="s">
        <v>301</v>
      </c>
      <c r="H46" s="4"/>
      <c r="I46" s="4"/>
      <c r="J46" s="4">
        <v>6.08</v>
      </c>
      <c r="K46" s="4"/>
      <c r="L46" s="4"/>
      <c r="M46" s="4" t="s">
        <v>18</v>
      </c>
      <c r="N46" s="4">
        <v>74</v>
      </c>
      <c r="O46" s="3">
        <f>=B46*(N46*F46/10000)*J46</f>
      </c>
    </row>
    <row r="47" spans="1:15" x14ac:dyDescent="0.25">
      <c r="A47" s="2" t="s">
        <v>302</v>
      </c>
      <c r="B47" s="4">
        <v>1</v>
      </c>
      <c r="C47" s="4" t="s">
        <v>27</v>
      </c>
      <c r="D47" s="4"/>
      <c r="E47" s="4"/>
      <c r="F47" s="4">
        <v>28.5</v>
      </c>
      <c r="G47" s="4" t="s">
        <v>303</v>
      </c>
      <c r="H47" s="4"/>
      <c r="I47" s="4"/>
      <c r="J47" s="4">
        <v>6.08</v>
      </c>
      <c r="K47" s="4"/>
      <c r="L47" s="4"/>
      <c r="M47" s="4" t="s">
        <v>18</v>
      </c>
      <c r="N47" s="4">
        <v>75</v>
      </c>
      <c r="O47" s="3">
        <f>=B47*(N47*F47/10000)*J47</f>
      </c>
    </row>
    <row r="48" spans="1:15" x14ac:dyDescent="0.25">
      <c r="A48" s="2" t="s">
        <v>304</v>
      </c>
      <c r="B48" s="4">
        <v>1</v>
      </c>
      <c r="C48" s="4" t="s">
        <v>27</v>
      </c>
      <c r="D48" s="4"/>
      <c r="E48" s="4"/>
      <c r="F48" s="4">
        <v>20</v>
      </c>
      <c r="G48" s="4" t="s">
        <v>305</v>
      </c>
      <c r="H48" s="4"/>
      <c r="I48" s="4"/>
      <c r="J48" s="4">
        <v>6.08</v>
      </c>
      <c r="K48" s="4"/>
      <c r="L48" s="4"/>
      <c r="M48" s="4" t="s">
        <v>18</v>
      </c>
      <c r="N48" s="4">
        <v>82</v>
      </c>
      <c r="O48" s="3">
        <f>=B48*(N48*F48/10000)*J48</f>
      </c>
    </row>
    <row r="49" spans="1:15" x14ac:dyDescent="0.25">
      <c r="A49" s="2" t="s">
        <v>306</v>
      </c>
      <c r="B49" s="4">
        <v>1</v>
      </c>
      <c r="C49" s="4" t="s">
        <v>27</v>
      </c>
      <c r="D49" s="4"/>
      <c r="E49" s="4"/>
      <c r="F49" s="4">
        <v>28.5</v>
      </c>
      <c r="G49" s="4" t="s">
        <v>307</v>
      </c>
      <c r="H49" s="4"/>
      <c r="I49" s="4"/>
      <c r="J49" s="4">
        <v>6.08</v>
      </c>
      <c r="K49" s="4"/>
      <c r="L49" s="4"/>
      <c r="M49" s="4" t="s">
        <v>18</v>
      </c>
      <c r="N49" s="4">
        <v>85</v>
      </c>
      <c r="O49" s="3">
        <f>=B49*(N49*F49/10000)*J49</f>
      </c>
    </row>
    <row r="50" spans="1:15" x14ac:dyDescent="0.25">
      <c r="A50" s="2" t="s">
        <v>308</v>
      </c>
      <c r="B50" s="4">
        <v>1</v>
      </c>
      <c r="C50" s="4" t="s">
        <v>27</v>
      </c>
      <c r="D50" s="4"/>
      <c r="E50" s="4"/>
      <c r="F50" s="4">
        <v>37</v>
      </c>
      <c r="G50" s="4" t="s">
        <v>309</v>
      </c>
      <c r="H50" s="4"/>
      <c r="I50" s="4"/>
      <c r="J50" s="4">
        <v>6.08</v>
      </c>
      <c r="K50" s="4"/>
      <c r="L50" s="4"/>
      <c r="M50" s="4" t="s">
        <v>18</v>
      </c>
      <c r="N50" s="4">
        <v>88</v>
      </c>
      <c r="O50" s="3">
        <f>=B50*(N50*F50/10000)*J50</f>
      </c>
    </row>
    <row r="51" spans="1:15" x14ac:dyDescent="0.25">
      <c r="A51" s="2" t="s">
        <v>310</v>
      </c>
      <c r="B51" s="4">
        <v>1</v>
      </c>
      <c r="C51" s="4" t="s">
        <v>27</v>
      </c>
      <c r="D51" s="4"/>
      <c r="E51" s="4"/>
      <c r="F51" s="4">
        <v>23</v>
      </c>
      <c r="G51" s="4" t="s">
        <v>311</v>
      </c>
      <c r="H51" s="4"/>
      <c r="I51" s="4"/>
      <c r="J51" s="4">
        <v>6.08</v>
      </c>
      <c r="K51" s="4"/>
      <c r="L51" s="4"/>
      <c r="M51" s="4" t="s">
        <v>18</v>
      </c>
      <c r="N51" s="4">
        <v>94</v>
      </c>
      <c r="O51" s="3">
        <f>=B51*(N51*F51/10000)*J51</f>
      </c>
    </row>
    <row r="52" spans="1:15" x14ac:dyDescent="0.25">
      <c r="A52" s="2" t="s">
        <v>312</v>
      </c>
      <c r="B52" s="4">
        <v>50</v>
      </c>
      <c r="C52" s="4" t="s">
        <v>27</v>
      </c>
      <c r="D52" s="4"/>
      <c r="E52" s="4"/>
      <c r="F52" s="4">
        <v>29.7</v>
      </c>
      <c r="G52" s="4" t="s">
        <v>313</v>
      </c>
      <c r="H52" s="4"/>
      <c r="I52" s="4"/>
      <c r="J52" s="4">
        <v>6.08</v>
      </c>
      <c r="K52" s="4"/>
      <c r="L52" s="4"/>
      <c r="M52" s="4" t="s">
        <v>18</v>
      </c>
      <c r="N52" s="4">
        <v>21</v>
      </c>
      <c r="O52" s="3">
        <f>=B52*(N52*F52/10000)*J52</f>
      </c>
    </row>
    <row r="53" spans="1:15" x14ac:dyDescent="0.25">
      <c r="A53" s="2" t="s">
        <v>314</v>
      </c>
      <c r="B53" s="4">
        <v>34</v>
      </c>
      <c r="C53" s="4" t="s">
        <v>27</v>
      </c>
      <c r="D53" s="4"/>
      <c r="E53" s="4"/>
      <c r="F53" s="4">
        <v>21</v>
      </c>
      <c r="G53" s="4" t="s">
        <v>315</v>
      </c>
      <c r="H53" s="4"/>
      <c r="I53" s="4"/>
      <c r="J53" s="4">
        <v>6.08</v>
      </c>
      <c r="K53" s="4"/>
      <c r="L53" s="4"/>
      <c r="M53" s="4" t="s">
        <v>18</v>
      </c>
      <c r="N53" s="4">
        <v>14.8</v>
      </c>
      <c r="O53" s="3">
        <f>=B53*(N53*F53/10000)*J53</f>
      </c>
    </row>
    <row r="54" spans="1:15" x14ac:dyDescent="0.25">
      <c r="A54" s="2" t="s">
        <v>316</v>
      </c>
      <c r="B54" s="4">
        <v>27</v>
      </c>
      <c r="C54" s="4" t="s">
        <v>27</v>
      </c>
      <c r="D54" s="4"/>
      <c r="E54" s="4"/>
      <c r="F54" s="4">
        <v>14.8</v>
      </c>
      <c r="G54" s="4" t="s">
        <v>317</v>
      </c>
      <c r="H54" s="4"/>
      <c r="I54" s="4"/>
      <c r="J54" s="4">
        <v>6.08</v>
      </c>
      <c r="K54" s="4"/>
      <c r="L54" s="4"/>
      <c r="M54" s="4" t="s">
        <v>18</v>
      </c>
      <c r="N54" s="4">
        <v>10.5</v>
      </c>
      <c r="O54" s="3">
        <f>=B54*(N54*F54/10000)*J54</f>
      </c>
    </row>
    <row r="55" spans="1:15" x14ac:dyDescent="0.25">
      <c r="A55" s="2" t="s">
        <v>318</v>
      </c>
      <c r="B55" s="4">
        <v>1</v>
      </c>
      <c r="C55" s="4" t="s">
        <v>27</v>
      </c>
      <c r="D55" s="4"/>
      <c r="E55" s="4"/>
      <c r="F55" s="4">
        <v>32</v>
      </c>
      <c r="G55" s="4" t="s">
        <v>319</v>
      </c>
      <c r="H55" s="4"/>
      <c r="I55" s="4"/>
      <c r="J55" s="4">
        <v>6.08</v>
      </c>
      <c r="K55" s="4"/>
      <c r="L55" s="4"/>
      <c r="M55" s="4" t="s">
        <v>18</v>
      </c>
      <c r="N55" s="4">
        <v>47</v>
      </c>
      <c r="O55" s="3">
        <f>=B55*(N55*F55/10000)*J55</f>
      </c>
    </row>
    <row r="56" spans="1:15" x14ac:dyDescent="0.25">
      <c r="A56" s="2" t="s">
        <v>320</v>
      </c>
      <c r="B56" s="4">
        <v>1</v>
      </c>
      <c r="C56" s="4" t="s">
        <v>27</v>
      </c>
      <c r="D56" s="4"/>
      <c r="E56" s="4"/>
      <c r="F56" s="4">
        <v>15</v>
      </c>
      <c r="G56" s="4" t="s">
        <v>321</v>
      </c>
      <c r="H56" s="4"/>
      <c r="I56" s="4"/>
      <c r="J56" s="4">
        <v>6.08</v>
      </c>
      <c r="K56" s="4"/>
      <c r="L56" s="4"/>
      <c r="M56" s="4" t="s">
        <v>18</v>
      </c>
      <c r="N56" s="4">
        <v>67.5</v>
      </c>
      <c r="O56" s="3">
        <f>=B56*(N56*F56/10000)*J56</f>
      </c>
    </row>
    <row r="57" spans="1:15" x14ac:dyDescent="0.25">
      <c r="A57" s="2" t="s">
        <v>322</v>
      </c>
      <c r="B57" s="4">
        <v>1</v>
      </c>
      <c r="C57" s="4" t="s">
        <v>27</v>
      </c>
      <c r="D57" s="4"/>
      <c r="E57" s="4"/>
      <c r="F57" s="4">
        <v>24</v>
      </c>
      <c r="G57" s="4" t="s">
        <v>323</v>
      </c>
      <c r="H57" s="4"/>
      <c r="I57" s="4"/>
      <c r="J57" s="4">
        <v>6.08</v>
      </c>
      <c r="K57" s="4"/>
      <c r="L57" s="4"/>
      <c r="M57" s="4" t="s">
        <v>18</v>
      </c>
      <c r="N57" s="4">
        <v>99</v>
      </c>
      <c r="O57" s="3">
        <f>=B57*(N57*F57/10000)*J57</f>
      </c>
    </row>
    <row r="58" spans="1:15" x14ac:dyDescent="0.25">
      <c r="A58" s="2" t="s">
        <v>324</v>
      </c>
      <c r="B58" s="4">
        <v>2</v>
      </c>
      <c r="C58" s="4" t="s">
        <v>27</v>
      </c>
      <c r="D58" s="4"/>
      <c r="E58" s="4"/>
      <c r="F58" s="4">
        <v>38</v>
      </c>
      <c r="G58" s="4" t="s">
        <v>325</v>
      </c>
      <c r="H58" s="4"/>
      <c r="I58" s="4"/>
      <c r="J58" s="4">
        <v>6.08</v>
      </c>
      <c r="K58" s="4"/>
      <c r="L58" s="4"/>
      <c r="M58" s="4" t="s">
        <v>18</v>
      </c>
      <c r="N58" s="4">
        <v>80</v>
      </c>
      <c r="O58" s="3">
        <f>=B58*(N58*F58/10000)*J58</f>
      </c>
    </row>
    <row r="59" spans="1:15" x14ac:dyDescent="0.25">
      <c r="A59" s="2" t="s">
        <v>326</v>
      </c>
      <c r="B59" s="4">
        <v>1</v>
      </c>
      <c r="C59" s="4" t="s">
        <v>27</v>
      </c>
      <c r="D59" s="4"/>
      <c r="E59" s="4"/>
      <c r="F59" s="4">
        <v>72.5</v>
      </c>
      <c r="G59" s="4" t="s">
        <v>327</v>
      </c>
      <c r="H59" s="4"/>
      <c r="I59" s="4"/>
      <c r="J59" s="4">
        <v>6.08</v>
      </c>
      <c r="K59" s="4"/>
      <c r="L59" s="4"/>
      <c r="M59" s="4" t="s">
        <v>18</v>
      </c>
      <c r="N59" s="4">
        <v>120</v>
      </c>
      <c r="O59" s="3">
        <f>=B59*(N59*F59/10000)*J59</f>
      </c>
    </row>
    <row r="60" spans="1:15" x14ac:dyDescent="0.25">
      <c r="A60" s="2" t="s">
        <v>328</v>
      </c>
      <c r="B60" s="4">
        <v>1</v>
      </c>
      <c r="C60" s="4" t="s">
        <v>27</v>
      </c>
      <c r="D60" s="4"/>
      <c r="E60" s="4"/>
      <c r="F60" s="4">
        <v>17.5</v>
      </c>
      <c r="G60" s="4" t="s">
        <v>329</v>
      </c>
      <c r="H60" s="4"/>
      <c r="I60" s="4"/>
      <c r="J60" s="4">
        <v>6.08</v>
      </c>
      <c r="K60" s="4"/>
      <c r="L60" s="4"/>
      <c r="M60" s="4" t="s">
        <v>18</v>
      </c>
      <c r="N60" s="4">
        <v>120</v>
      </c>
      <c r="O60" s="3">
        <f>=B60*(N60*F60/10000)*J60</f>
      </c>
    </row>
    <row r="61" spans="1:15" x14ac:dyDescent="0.25">
      <c r="A61" s="2" t="s">
        <v>330</v>
      </c>
      <c r="B61" s="4">
        <v>1</v>
      </c>
      <c r="C61" s="4" t="s">
        <v>27</v>
      </c>
      <c r="D61" s="4"/>
      <c r="E61" s="4"/>
      <c r="F61" s="4">
        <v>12</v>
      </c>
      <c r="G61" s="4" t="s">
        <v>331</v>
      </c>
      <c r="H61" s="4"/>
      <c r="I61" s="4"/>
      <c r="J61" s="4">
        <v>6.08</v>
      </c>
      <c r="K61" s="4">
        <v>3</v>
      </c>
      <c r="L61" s="4"/>
      <c r="M61" s="4" t="s">
        <v>18</v>
      </c>
      <c r="N61" s="4">
        <v>100</v>
      </c>
      <c r="O61" s="3">
        <f>=B61*(N61*F61/10000)*J61</f>
      </c>
    </row>
    <row r="62" spans="1:15" x14ac:dyDescent="0.25">
      <c r="A62" s="2" t="s">
        <v>332</v>
      </c>
      <c r="B62" s="4">
        <v>1</v>
      </c>
      <c r="C62" s="4" t="s">
        <v>27</v>
      </c>
      <c r="D62" s="4"/>
      <c r="E62" s="4"/>
      <c r="F62" s="4">
        <v>19</v>
      </c>
      <c r="G62" s="4" t="s">
        <v>333</v>
      </c>
      <c r="H62" s="4"/>
      <c r="I62" s="4"/>
      <c r="J62" s="4">
        <v>6.08</v>
      </c>
      <c r="K62" s="4"/>
      <c r="L62" s="4"/>
      <c r="M62" s="4" t="s">
        <v>18</v>
      </c>
      <c r="N62" s="4">
        <v>150</v>
      </c>
      <c r="O62" s="3">
        <f>=B62*(N62*F62/10000)*J62</f>
      </c>
    </row>
    <row r="63" spans="1:15" x14ac:dyDescent="0.25">
      <c r="A63" s="2" t="s">
        <v>334</v>
      </c>
      <c r="B63" s="4">
        <v>1</v>
      </c>
      <c r="C63" s="4" t="s">
        <v>27</v>
      </c>
      <c r="D63" s="4"/>
      <c r="E63" s="4"/>
      <c r="F63" s="4">
        <v>31</v>
      </c>
      <c r="G63" s="4" t="s">
        <v>335</v>
      </c>
      <c r="H63" s="4"/>
      <c r="I63" s="4"/>
      <c r="J63" s="4">
        <v>6.08</v>
      </c>
      <c r="K63" s="4"/>
      <c r="L63" s="4"/>
      <c r="M63" s="4" t="s">
        <v>18</v>
      </c>
      <c r="N63" s="4">
        <v>77</v>
      </c>
      <c r="O63" s="3">
        <f>=B63*(N63*F63/10000)*J63</f>
      </c>
    </row>
    <row r="64" spans="1:15" x14ac:dyDescent="0.25">
      <c r="A64" s="2" t="s">
        <v>336</v>
      </c>
      <c r="B64" s="4">
        <v>1</v>
      </c>
      <c r="C64" s="4" t="s">
        <v>27</v>
      </c>
      <c r="D64" s="4"/>
      <c r="E64" s="4"/>
      <c r="F64" s="4">
        <v>70</v>
      </c>
      <c r="G64" s="4" t="s">
        <v>337</v>
      </c>
      <c r="H64" s="4"/>
      <c r="I64" s="4"/>
      <c r="J64" s="4">
        <v>6.08</v>
      </c>
      <c r="K64" s="4"/>
      <c r="L64" s="4"/>
      <c r="M64" s="4" t="s">
        <v>18</v>
      </c>
      <c r="N64" s="4">
        <v>83</v>
      </c>
      <c r="O64" s="3">
        <f>=B64*(N64*F64/10000)*J64</f>
      </c>
    </row>
    <row r="65" spans="1:15" x14ac:dyDescent="0.25">
      <c r="A65" s="2" t="s">
        <v>338</v>
      </c>
      <c r="B65" s="4">
        <v>1</v>
      </c>
      <c r="C65" s="4" t="s">
        <v>27</v>
      </c>
      <c r="D65" s="4"/>
      <c r="E65" s="4"/>
      <c r="F65" s="4">
        <v>25.5</v>
      </c>
      <c r="G65" s="4" t="s">
        <v>339</v>
      </c>
      <c r="H65" s="4"/>
      <c r="I65" s="4"/>
      <c r="J65" s="4">
        <v>6.08</v>
      </c>
      <c r="K65" s="4">
        <v>3</v>
      </c>
      <c r="L65" s="4"/>
      <c r="M65" s="4" t="s">
        <v>18</v>
      </c>
      <c r="N65" s="4">
        <v>240</v>
      </c>
      <c r="O65" s="3">
        <f>=B65*(N65*F65/10000)*J65</f>
      </c>
    </row>
    <row r="66" spans="1:15" x14ac:dyDescent="0.25">
      <c r="A66" s="2" t="s">
        <v>340</v>
      </c>
      <c r="B66" s="4">
        <v>0</v>
      </c>
      <c r="C66" s="4" t="s">
        <v>27</v>
      </c>
      <c r="D66" s="4"/>
      <c r="E66" s="4"/>
      <c r="F66" s="4">
        <v>25</v>
      </c>
      <c r="G66" s="4" t="s">
        <v>341</v>
      </c>
      <c r="H66" s="4"/>
      <c r="I66" s="4"/>
      <c r="J66" s="4">
        <v>6.08</v>
      </c>
      <c r="K66" s="4">
        <v>3</v>
      </c>
      <c r="L66" s="4"/>
      <c r="M66" s="4" t="s">
        <v>342</v>
      </c>
      <c r="N66" s="4">
        <v>70</v>
      </c>
      <c r="O66" s="3">
        <f>=B66*(N66*F66/10000)*J66</f>
      </c>
    </row>
    <row r="67" spans="1:15" x14ac:dyDescent="0.25">
      <c r="A67" s="2" t="s">
        <v>343</v>
      </c>
      <c r="B67" s="4">
        <v>0</v>
      </c>
      <c r="C67" s="4" t="s">
        <v>27</v>
      </c>
      <c r="D67" s="4"/>
      <c r="E67" s="4"/>
      <c r="F67" s="4">
        <v>55</v>
      </c>
      <c r="G67" s="4" t="s">
        <v>344</v>
      </c>
      <c r="H67" s="4"/>
      <c r="I67" s="4"/>
      <c r="J67" s="4">
        <v>6.08</v>
      </c>
      <c r="K67" s="4">
        <v>3</v>
      </c>
      <c r="L67" s="4"/>
      <c r="M67" s="4"/>
      <c r="N67" s="4">
        <v>135</v>
      </c>
      <c r="O67" s="3">
        <f>=B67*(N67*F67/10000)*J67</f>
      </c>
    </row>
    <row r="68" spans="1:15" x14ac:dyDescent="0.25">
      <c r="A68" s="2" t="s">
        <v>345</v>
      </c>
      <c r="B68" s="4">
        <v>0</v>
      </c>
      <c r="C68" s="4" t="s">
        <v>27</v>
      </c>
      <c r="D68" s="4"/>
      <c r="E68" s="4"/>
      <c r="F68" s="4">
        <v>25</v>
      </c>
      <c r="G68" s="4" t="s">
        <v>346</v>
      </c>
      <c r="H68" s="4"/>
      <c r="I68" s="4"/>
      <c r="J68" s="4">
        <v>6.08</v>
      </c>
      <c r="K68" s="4">
        <v>3</v>
      </c>
      <c r="L68" s="4"/>
      <c r="M68" s="4" t="s">
        <v>342</v>
      </c>
      <c r="N68" s="4">
        <v>145</v>
      </c>
      <c r="O68" s="3">
        <f>=B68*(N68*F68/10000)*J68</f>
      </c>
    </row>
    <row r="69" spans="1:15" x14ac:dyDescent="0.25">
      <c r="A69" s="2" t="s">
        <v>347</v>
      </c>
      <c r="B69" s="4">
        <v>2</v>
      </c>
      <c r="C69" s="4" t="s">
        <v>27</v>
      </c>
      <c r="D69" s="4"/>
      <c r="E69" s="4"/>
      <c r="F69" s="4">
        <v>30</v>
      </c>
      <c r="G69" s="4" t="s">
        <v>348</v>
      </c>
      <c r="H69" s="4"/>
      <c r="I69" s="4"/>
      <c r="J69" s="4">
        <v>6.08</v>
      </c>
      <c r="K69" s="4"/>
      <c r="L69" s="4"/>
      <c r="M69" s="4" t="s">
        <v>18</v>
      </c>
      <c r="N69" s="4">
        <v>40</v>
      </c>
      <c r="O69" s="3">
        <f>=B69*(N69*F69/10000)*J69</f>
      </c>
    </row>
    <row r="70" spans="1:15" x14ac:dyDescent="0.25">
      <c r="A70" s="2" t="s">
        <v>349</v>
      </c>
      <c r="B70" s="4">
        <v>1</v>
      </c>
      <c r="C70" s="4" t="s">
        <v>27</v>
      </c>
      <c r="D70" s="4"/>
      <c r="E70" s="4"/>
      <c r="F70" s="4">
        <v>32</v>
      </c>
      <c r="G70" s="4" t="s">
        <v>350</v>
      </c>
      <c r="H70" s="4"/>
      <c r="I70" s="4"/>
      <c r="J70" s="4">
        <v>6.08</v>
      </c>
      <c r="K70" s="4"/>
      <c r="L70" s="4"/>
      <c r="M70" s="4" t="s">
        <v>18</v>
      </c>
      <c r="N70" s="4">
        <v>40</v>
      </c>
      <c r="O70" s="3">
        <f>=B70*(N70*F70/10000)*J70</f>
      </c>
    </row>
    <row r="71" spans="1:15" x14ac:dyDescent="0.25">
      <c r="A71" s="2" t="s">
        <v>351</v>
      </c>
      <c r="B71" s="4">
        <v>1</v>
      </c>
      <c r="C71" s="4" t="s">
        <v>27</v>
      </c>
      <c r="D71" s="4"/>
      <c r="E71" s="4"/>
      <c r="F71" s="4">
        <v>34</v>
      </c>
      <c r="G71" s="4" t="s">
        <v>352</v>
      </c>
      <c r="H71" s="4"/>
      <c r="I71" s="4"/>
      <c r="J71" s="4">
        <v>6.08</v>
      </c>
      <c r="K71" s="4"/>
      <c r="L71" s="4"/>
      <c r="M71" s="4" t="s">
        <v>18</v>
      </c>
      <c r="N71" s="4">
        <v>40</v>
      </c>
      <c r="O71" s="3">
        <f>=B71*(N71*F71/10000)*J71</f>
      </c>
    </row>
    <row r="72" spans="1:15" x14ac:dyDescent="0.25">
      <c r="A72" s="2" t="s">
        <v>353</v>
      </c>
      <c r="B72" s="4">
        <v>1</v>
      </c>
      <c r="C72" s="4" t="s">
        <v>27</v>
      </c>
      <c r="D72" s="4"/>
      <c r="E72" s="4"/>
      <c r="F72" s="4">
        <v>38</v>
      </c>
      <c r="G72" s="4" t="s">
        <v>354</v>
      </c>
      <c r="H72" s="4"/>
      <c r="I72" s="4"/>
      <c r="J72" s="4">
        <v>6.08</v>
      </c>
      <c r="K72" s="4">
        <v>3</v>
      </c>
      <c r="L72" s="4"/>
      <c r="M72" s="4" t="s">
        <v>18</v>
      </c>
      <c r="N72" s="4">
        <v>39</v>
      </c>
      <c r="O72" s="3">
        <f>=B72*(N72*F72/10000)*J72</f>
      </c>
    </row>
    <row r="73" spans="1:15" x14ac:dyDescent="0.25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 t="s">
        <v>25</v>
      </c>
      <c r="O73" s="6">
        <f>=SUM(O2:O72)</f>
      </c>
    </row>
  </sheetData>
  <sheetProtection sheet="1" algorithmName="SHA-512" hashValue="Xl2yA7IxPAxpXwuviB1+cr6NAGxafU3Crz6cLSD77T3wzKtI1BveXcOBWsW8eHelLQJZtVffr0p3eWXQU+rmlQ==" saltValue="3S4xQmH7y8acyeiUlc1XR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355</v>
      </c>
      <c r="B2" s="4">
        <v>1</v>
      </c>
      <c r="C2" s="4" t="s">
        <v>27</v>
      </c>
      <c r="D2" s="4"/>
      <c r="E2" s="4"/>
      <c r="F2" s="4">
        <v>30</v>
      </c>
      <c r="G2" s="4" t="s">
        <v>356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357</v>
      </c>
      <c r="B3" s="4">
        <v>1</v>
      </c>
      <c r="C3" s="4" t="s">
        <v>27</v>
      </c>
      <c r="D3" s="4"/>
      <c r="E3" s="4"/>
      <c r="F3" s="4">
        <v>20</v>
      </c>
      <c r="G3" s="4" t="s">
        <v>358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359</v>
      </c>
      <c r="B4" s="4">
        <v>1</v>
      </c>
      <c r="C4" s="4" t="s">
        <v>27</v>
      </c>
      <c r="D4" s="4"/>
      <c r="E4" s="4"/>
      <c r="F4" s="4">
        <v>29</v>
      </c>
      <c r="G4" s="4" t="s">
        <v>360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361</v>
      </c>
      <c r="B5" s="4">
        <v>1</v>
      </c>
      <c r="C5" s="4" t="s">
        <v>27</v>
      </c>
      <c r="D5" s="4"/>
      <c r="E5" s="4"/>
      <c r="F5" s="4">
        <v>28</v>
      </c>
      <c r="G5" s="4" t="s">
        <v>362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363</v>
      </c>
      <c r="B6" s="4">
        <v>2</v>
      </c>
      <c r="C6" s="4" t="s">
        <v>27</v>
      </c>
      <c r="D6" s="4"/>
      <c r="E6" s="4"/>
      <c r="F6" s="4">
        <v>28.5</v>
      </c>
      <c r="G6" s="4" t="s">
        <v>364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365</v>
      </c>
      <c r="B7" s="4">
        <v>1</v>
      </c>
      <c r="C7" s="4" t="s">
        <v>27</v>
      </c>
      <c r="D7" s="4"/>
      <c r="E7" s="4"/>
      <c r="F7" s="4">
        <v>24</v>
      </c>
      <c r="G7" s="4" t="s">
        <v>366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367</v>
      </c>
      <c r="B8" s="4">
        <v>1</v>
      </c>
      <c r="C8" s="4" t="s">
        <v>27</v>
      </c>
      <c r="D8" s="4"/>
      <c r="E8" s="4"/>
      <c r="F8" s="4">
        <v>52</v>
      </c>
      <c r="G8" s="4" t="s">
        <v>368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369</v>
      </c>
      <c r="B9" s="4">
        <v>1</v>
      </c>
      <c r="C9" s="4" t="s">
        <v>27</v>
      </c>
      <c r="D9" s="4"/>
      <c r="E9" s="4"/>
      <c r="F9" s="4">
        <v>30</v>
      </c>
      <c r="G9" s="4" t="s">
        <v>370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371</v>
      </c>
      <c r="B10" s="4">
        <v>1</v>
      </c>
      <c r="C10" s="4" t="s">
        <v>27</v>
      </c>
      <c r="D10" s="4"/>
      <c r="E10" s="4"/>
      <c r="F10" s="4">
        <v>25</v>
      </c>
      <c r="G10" s="4" t="s">
        <v>372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373</v>
      </c>
      <c r="B11" s="4">
        <v>2</v>
      </c>
      <c r="C11" s="4" t="s">
        <v>27</v>
      </c>
      <c r="D11" s="4"/>
      <c r="E11" s="4"/>
      <c r="F11" s="4">
        <v>15</v>
      </c>
      <c r="G11" s="4" t="s">
        <v>374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375</v>
      </c>
      <c r="B12" s="4">
        <v>1</v>
      </c>
      <c r="C12" s="4" t="s">
        <v>27</v>
      </c>
      <c r="D12" s="4"/>
      <c r="E12" s="4"/>
      <c r="F12" s="4">
        <v>19</v>
      </c>
      <c r="G12" s="4" t="s">
        <v>376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377</v>
      </c>
      <c r="B13" s="4">
        <v>1</v>
      </c>
      <c r="C13" s="4" t="s">
        <v>27</v>
      </c>
      <c r="D13" s="4"/>
      <c r="E13" s="4"/>
      <c r="F13" s="4">
        <v>20</v>
      </c>
      <c r="G13" s="4" t="s">
        <v>378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379</v>
      </c>
      <c r="B14" s="4">
        <v>3</v>
      </c>
      <c r="C14" s="4" t="s">
        <v>27</v>
      </c>
      <c r="D14" s="4"/>
      <c r="E14" s="4"/>
      <c r="F14" s="4">
        <v>24</v>
      </c>
      <c r="G14" s="4" t="s">
        <v>380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381</v>
      </c>
      <c r="B15" s="4">
        <v>1</v>
      </c>
      <c r="C15" s="4" t="s">
        <v>27</v>
      </c>
      <c r="D15" s="4"/>
      <c r="E15" s="4"/>
      <c r="F15" s="4">
        <v>25</v>
      </c>
      <c r="G15" s="4" t="s">
        <v>382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383</v>
      </c>
      <c r="B16" s="4">
        <v>1</v>
      </c>
      <c r="C16" s="4" t="s">
        <v>27</v>
      </c>
      <c r="D16" s="4"/>
      <c r="E16" s="4"/>
      <c r="F16" s="4">
        <v>25</v>
      </c>
      <c r="G16" s="4" t="s">
        <v>384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385</v>
      </c>
      <c r="B17" s="4">
        <v>3</v>
      </c>
      <c r="C17" s="4" t="s">
        <v>27</v>
      </c>
      <c r="D17" s="4"/>
      <c r="E17" s="4"/>
      <c r="F17" s="4">
        <v>22</v>
      </c>
      <c r="G17" s="4" t="s">
        <v>386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387</v>
      </c>
      <c r="B18" s="4">
        <v>1</v>
      </c>
      <c r="C18" s="4" t="s">
        <v>27</v>
      </c>
      <c r="D18" s="4"/>
      <c r="E18" s="4"/>
      <c r="F18" s="4">
        <v>49.5</v>
      </c>
      <c r="G18" s="4" t="s">
        <v>388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389</v>
      </c>
      <c r="B19" s="4">
        <v>1</v>
      </c>
      <c r="C19" s="4" t="s">
        <v>27</v>
      </c>
      <c r="D19" s="4"/>
      <c r="E19" s="4"/>
      <c r="F19" s="4">
        <v>25</v>
      </c>
      <c r="G19" s="4" t="s">
        <v>390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391</v>
      </c>
      <c r="B20" s="4">
        <v>1</v>
      </c>
      <c r="C20" s="4" t="s">
        <v>27</v>
      </c>
      <c r="D20" s="4"/>
      <c r="E20" s="4"/>
      <c r="F20" s="4">
        <v>29</v>
      </c>
      <c r="G20" s="4" t="s">
        <v>392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393</v>
      </c>
      <c r="B21" s="4">
        <v>1</v>
      </c>
      <c r="C21" s="4" t="s">
        <v>27</v>
      </c>
      <c r="D21" s="4"/>
      <c r="E21" s="4"/>
      <c r="F21" s="4">
        <v>30</v>
      </c>
      <c r="G21" s="4" t="s">
        <v>394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395</v>
      </c>
      <c r="B22" s="4">
        <v>1</v>
      </c>
      <c r="C22" s="4" t="s">
        <v>27</v>
      </c>
      <c r="D22" s="4"/>
      <c r="E22" s="4"/>
      <c r="F22" s="4">
        <v>29.1</v>
      </c>
      <c r="G22" s="4" t="s">
        <v>396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397</v>
      </c>
      <c r="B23" s="4">
        <v>1</v>
      </c>
      <c r="C23" s="4" t="s">
        <v>27</v>
      </c>
      <c r="D23" s="4"/>
      <c r="E23" s="4"/>
      <c r="F23" s="4">
        <v>22</v>
      </c>
      <c r="G23" s="4" t="s">
        <v>398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399</v>
      </c>
      <c r="B24" s="4">
        <v>1</v>
      </c>
      <c r="C24" s="4" t="s">
        <v>27</v>
      </c>
      <c r="D24" s="4"/>
      <c r="E24" s="4"/>
      <c r="F24" s="4">
        <v>29.9</v>
      </c>
      <c r="G24" s="4" t="s">
        <v>400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401</v>
      </c>
      <c r="B25" s="4">
        <v>1</v>
      </c>
      <c r="C25" s="4" t="s">
        <v>27</v>
      </c>
      <c r="D25" s="4"/>
      <c r="E25" s="4"/>
      <c r="F25" s="4">
        <v>29.9</v>
      </c>
      <c r="G25" s="4" t="s">
        <v>402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403</v>
      </c>
      <c r="B26" s="4">
        <v>1</v>
      </c>
      <c r="C26" s="4" t="s">
        <v>27</v>
      </c>
      <c r="D26" s="4"/>
      <c r="E26" s="4"/>
      <c r="F26" s="4">
        <v>19.5</v>
      </c>
      <c r="G26" s="4" t="s">
        <v>404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405</v>
      </c>
      <c r="B27" s="4">
        <v>1</v>
      </c>
      <c r="C27" s="4" t="s">
        <v>27</v>
      </c>
      <c r="D27" s="4"/>
      <c r="E27" s="4"/>
      <c r="F27" s="4">
        <v>14</v>
      </c>
      <c r="G27" s="4" t="s">
        <v>406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407</v>
      </c>
      <c r="B28" s="4">
        <v>1</v>
      </c>
      <c r="C28" s="4" t="s">
        <v>27</v>
      </c>
      <c r="D28" s="4"/>
      <c r="E28" s="4"/>
      <c r="F28" s="4">
        <v>13</v>
      </c>
      <c r="G28" s="4" t="s">
        <v>408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409</v>
      </c>
      <c r="B29" s="4">
        <v>1</v>
      </c>
      <c r="C29" s="4" t="s">
        <v>27</v>
      </c>
      <c r="D29" s="4"/>
      <c r="E29" s="4"/>
      <c r="F29" s="4">
        <v>27.5</v>
      </c>
      <c r="G29" s="4" t="s">
        <v>410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411</v>
      </c>
      <c r="B30" s="4">
        <v>10</v>
      </c>
      <c r="C30" s="4" t="s">
        <v>27</v>
      </c>
      <c r="D30" s="4"/>
      <c r="E30" s="4"/>
      <c r="F30" s="4">
        <v>5</v>
      </c>
      <c r="G30" s="4" t="s">
        <v>412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413</v>
      </c>
      <c r="B31" s="4">
        <v>111</v>
      </c>
      <c r="C31" s="4" t="s">
        <v>27</v>
      </c>
      <c r="D31" s="4"/>
      <c r="E31" s="4"/>
      <c r="F31" s="4">
        <v>4.7</v>
      </c>
      <c r="G31" s="4" t="s">
        <v>414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415</v>
      </c>
      <c r="B32" s="4">
        <v>35</v>
      </c>
      <c r="C32" s="4" t="s">
        <v>27</v>
      </c>
      <c r="D32" s="4"/>
      <c r="E32" s="4"/>
      <c r="F32" s="4">
        <v>7.5</v>
      </c>
      <c r="G32" s="4" t="s">
        <v>416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417</v>
      </c>
      <c r="B33" s="4">
        <v>50</v>
      </c>
      <c r="C33" s="4" t="s">
        <v>27</v>
      </c>
      <c r="D33" s="4"/>
      <c r="E33" s="4"/>
      <c r="F33" s="4">
        <v>10.5</v>
      </c>
      <c r="G33" s="4" t="s">
        <v>418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419</v>
      </c>
      <c r="B34" s="4">
        <v>23</v>
      </c>
      <c r="C34" s="4" t="s">
        <v>27</v>
      </c>
      <c r="D34" s="4"/>
      <c r="E34" s="4"/>
      <c r="F34" s="4">
        <v>21</v>
      </c>
      <c r="G34" s="4" t="s">
        <v>315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420</v>
      </c>
      <c r="B35" s="4">
        <v>1</v>
      </c>
      <c r="C35" s="4" t="s">
        <v>27</v>
      </c>
      <c r="D35" s="4"/>
      <c r="E35" s="4"/>
      <c r="F35" s="4">
        <v>76</v>
      </c>
      <c r="G35" s="4" t="s">
        <v>421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422</v>
      </c>
      <c r="B36" s="4">
        <v>1</v>
      </c>
      <c r="C36" s="4" t="s">
        <v>27</v>
      </c>
      <c r="D36" s="4"/>
      <c r="E36" s="4"/>
      <c r="F36" s="4">
        <v>12</v>
      </c>
      <c r="G36" s="4" t="s">
        <v>423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424</v>
      </c>
      <c r="B37" s="4">
        <v>1</v>
      </c>
      <c r="C37" s="4" t="s">
        <v>27</v>
      </c>
      <c r="D37" s="4"/>
      <c r="E37" s="4"/>
      <c r="F37" s="4">
        <v>10</v>
      </c>
      <c r="G37" s="4" t="s">
        <v>425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426</v>
      </c>
      <c r="B38" s="4">
        <v>1</v>
      </c>
      <c r="C38" s="4" t="s">
        <v>27</v>
      </c>
      <c r="D38" s="4"/>
      <c r="E38" s="4"/>
      <c r="F38" s="4">
        <v>50</v>
      </c>
      <c r="G38" s="4" t="s">
        <v>427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428</v>
      </c>
      <c r="B39" s="4">
        <v>1</v>
      </c>
      <c r="C39" s="4" t="s">
        <v>27</v>
      </c>
      <c r="D39" s="4"/>
      <c r="E39" s="4"/>
      <c r="F39" s="4">
        <v>67</v>
      </c>
      <c r="G39" s="4" t="s">
        <v>429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430</v>
      </c>
      <c r="B40" s="4">
        <v>1</v>
      </c>
      <c r="C40" s="4" t="s">
        <v>27</v>
      </c>
      <c r="D40" s="4"/>
      <c r="E40" s="4"/>
      <c r="F40" s="4">
        <v>12</v>
      </c>
      <c r="G40" s="4" t="s">
        <v>431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432</v>
      </c>
      <c r="B41" s="4">
        <v>1</v>
      </c>
      <c r="C41" s="4" t="s">
        <v>27</v>
      </c>
      <c r="D41" s="4"/>
      <c r="E41" s="4"/>
      <c r="F41" s="4">
        <v>13</v>
      </c>
      <c r="G41" s="4" t="s">
        <v>433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434</v>
      </c>
      <c r="B42" s="4">
        <v>1</v>
      </c>
      <c r="C42" s="4" t="s">
        <v>27</v>
      </c>
      <c r="D42" s="4"/>
      <c r="E42" s="4"/>
      <c r="F42" s="4">
        <v>100</v>
      </c>
      <c r="G42" s="4" t="s">
        <v>435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436</v>
      </c>
      <c r="B43" s="4">
        <v>1</v>
      </c>
      <c r="C43" s="4" t="s">
        <v>27</v>
      </c>
      <c r="D43" s="4"/>
      <c r="E43" s="4"/>
      <c r="F43" s="4">
        <v>18</v>
      </c>
      <c r="G43" s="4" t="s">
        <v>437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438</v>
      </c>
      <c r="B44" s="4">
        <v>1</v>
      </c>
      <c r="C44" s="4" t="s">
        <v>27</v>
      </c>
      <c r="D44" s="4"/>
      <c r="E44" s="4"/>
      <c r="F44" s="4">
        <v>67.5</v>
      </c>
      <c r="G44" s="4" t="s">
        <v>439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440</v>
      </c>
      <c r="B45" s="4">
        <v>1</v>
      </c>
      <c r="C45" s="4" t="s">
        <v>27</v>
      </c>
      <c r="D45" s="4"/>
      <c r="E45" s="4"/>
      <c r="F45" s="4">
        <v>12</v>
      </c>
      <c r="G45" s="4" t="s">
        <v>441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442</v>
      </c>
      <c r="B46" s="4">
        <v>1</v>
      </c>
      <c r="C46" s="4" t="s">
        <v>27</v>
      </c>
      <c r="D46" s="4"/>
      <c r="E46" s="4"/>
      <c r="F46" s="4">
        <v>35</v>
      </c>
      <c r="G46" s="4" t="s">
        <v>443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444</v>
      </c>
      <c r="B47" s="4">
        <v>1</v>
      </c>
      <c r="C47" s="4" t="s">
        <v>27</v>
      </c>
      <c r="D47" s="4"/>
      <c r="E47" s="4"/>
      <c r="F47" s="4">
        <v>34.5</v>
      </c>
      <c r="G47" s="4" t="s">
        <v>445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446</v>
      </c>
      <c r="B48" s="4">
        <v>3</v>
      </c>
      <c r="C48" s="4" t="s">
        <v>27</v>
      </c>
      <c r="D48" s="4"/>
      <c r="E48" s="4"/>
      <c r="F48" s="4">
        <v>35</v>
      </c>
      <c r="G48" s="4" t="s">
        <v>447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448</v>
      </c>
      <c r="B49" s="4">
        <v>1</v>
      </c>
      <c r="C49" s="4" t="s">
        <v>27</v>
      </c>
      <c r="D49" s="4"/>
      <c r="E49" s="4"/>
      <c r="F49" s="4">
        <v>14</v>
      </c>
      <c r="G49" s="4" t="s">
        <v>449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450</v>
      </c>
      <c r="B50" s="4">
        <v>1</v>
      </c>
      <c r="C50" s="4" t="s">
        <v>27</v>
      </c>
      <c r="D50" s="4"/>
      <c r="E50" s="4"/>
      <c r="F50" s="4">
        <v>16</v>
      </c>
      <c r="G50" s="4" t="s">
        <v>451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452</v>
      </c>
      <c r="B51" s="4">
        <v>1</v>
      </c>
      <c r="C51" s="4" t="s">
        <v>27</v>
      </c>
      <c r="D51" s="4"/>
      <c r="E51" s="4"/>
      <c r="F51" s="4">
        <v>29.5</v>
      </c>
      <c r="G51" s="4" t="s">
        <v>453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454</v>
      </c>
      <c r="B52" s="4">
        <v>1</v>
      </c>
      <c r="C52" s="4" t="s">
        <v>27</v>
      </c>
      <c r="D52" s="4"/>
      <c r="E52" s="4"/>
      <c r="F52" s="4">
        <v>218</v>
      </c>
      <c r="G52" s="4" t="s">
        <v>455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456</v>
      </c>
      <c r="B53" s="4">
        <v>1</v>
      </c>
      <c r="C53" s="4" t="s">
        <v>27</v>
      </c>
      <c r="D53" s="4"/>
      <c r="E53" s="4"/>
      <c r="F53" s="4">
        <v>28</v>
      </c>
      <c r="G53" s="4" t="s">
        <v>457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458</v>
      </c>
      <c r="B54" s="4">
        <v>1</v>
      </c>
      <c r="C54" s="4" t="s">
        <v>27</v>
      </c>
      <c r="D54" s="4"/>
      <c r="E54" s="4"/>
      <c r="F54" s="4">
        <v>36</v>
      </c>
      <c r="G54" s="4" t="s">
        <v>459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460</v>
      </c>
      <c r="B55" s="4">
        <v>1</v>
      </c>
      <c r="C55" s="4" t="s">
        <v>27</v>
      </c>
      <c r="D55" s="4"/>
      <c r="E55" s="4"/>
      <c r="F55" s="4">
        <v>180</v>
      </c>
      <c r="G55" s="4" t="s">
        <v>461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462</v>
      </c>
      <c r="B56" s="4">
        <v>1</v>
      </c>
      <c r="C56" s="4" t="s">
        <v>27</v>
      </c>
      <c r="D56" s="4"/>
      <c r="E56" s="4"/>
      <c r="F56" s="4">
        <v>17.5</v>
      </c>
      <c r="G56" s="4" t="s">
        <v>463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464</v>
      </c>
      <c r="B57" s="4">
        <v>3</v>
      </c>
      <c r="C57" s="4" t="s">
        <v>27</v>
      </c>
      <c r="D57" s="4"/>
      <c r="E57" s="4"/>
      <c r="F57" s="4">
        <v>15</v>
      </c>
      <c r="G57" s="4" t="s">
        <v>465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466</v>
      </c>
      <c r="B58" s="4">
        <v>3</v>
      </c>
      <c r="C58" s="4" t="s">
        <v>27</v>
      </c>
      <c r="D58" s="4"/>
      <c r="E58" s="4"/>
      <c r="F58" s="4">
        <v>18</v>
      </c>
      <c r="G58" s="4" t="s">
        <v>467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468</v>
      </c>
      <c r="B59" s="4">
        <v>1</v>
      </c>
      <c r="C59" s="4" t="s">
        <v>27</v>
      </c>
      <c r="D59" s="4"/>
      <c r="E59" s="4"/>
      <c r="F59" s="4">
        <v>34.9</v>
      </c>
      <c r="G59" s="4" t="s">
        <v>469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470</v>
      </c>
      <c r="B60" s="4">
        <v>1</v>
      </c>
      <c r="C60" s="4" t="s">
        <v>27</v>
      </c>
      <c r="D60" s="4"/>
      <c r="E60" s="4"/>
      <c r="F60" s="4">
        <v>29.9</v>
      </c>
      <c r="G60" s="4" t="s">
        <v>471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472</v>
      </c>
      <c r="B61" s="4">
        <v>2</v>
      </c>
      <c r="C61" s="4" t="s">
        <v>27</v>
      </c>
      <c r="D61" s="4"/>
      <c r="E61" s="4"/>
      <c r="F61" s="4">
        <v>25</v>
      </c>
      <c r="G61" s="4" t="s">
        <v>473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474</v>
      </c>
      <c r="B62" s="4">
        <v>2</v>
      </c>
      <c r="C62" s="4" t="s">
        <v>27</v>
      </c>
      <c r="D62" s="4"/>
      <c r="E62" s="4"/>
      <c r="F62" s="4">
        <v>273</v>
      </c>
      <c r="G62" s="4" t="s">
        <v>475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476</v>
      </c>
      <c r="B63" s="4">
        <v>7</v>
      </c>
      <c r="C63" s="4" t="s">
        <v>27</v>
      </c>
      <c r="D63" s="4"/>
      <c r="E63" s="4"/>
      <c r="F63" s="4">
        <v>29.7</v>
      </c>
      <c r="G63" s="4" t="s">
        <v>313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477</v>
      </c>
      <c r="B64" s="4">
        <v>3</v>
      </c>
      <c r="C64" s="4" t="s">
        <v>27</v>
      </c>
      <c r="D64" s="4"/>
      <c r="E64" s="4"/>
      <c r="F64" s="4">
        <v>13.5</v>
      </c>
      <c r="G64" s="4" t="s">
        <v>478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479</v>
      </c>
      <c r="B65" s="4">
        <v>1</v>
      </c>
      <c r="C65" s="4" t="s">
        <v>27</v>
      </c>
      <c r="D65" s="4"/>
      <c r="E65" s="4"/>
      <c r="F65" s="4">
        <v>30.1</v>
      </c>
      <c r="G65" s="4" t="s">
        <v>480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481</v>
      </c>
      <c r="B66" s="4">
        <v>1</v>
      </c>
      <c r="C66" s="4" t="s">
        <v>27</v>
      </c>
      <c r="D66" s="4"/>
      <c r="E66" s="4"/>
      <c r="F66" s="4">
        <v>29.6</v>
      </c>
      <c r="G66" s="4" t="s">
        <v>482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483</v>
      </c>
      <c r="B67" s="4">
        <v>1</v>
      </c>
      <c r="C67" s="4" t="s">
        <v>27</v>
      </c>
      <c r="D67" s="4"/>
      <c r="E67" s="4"/>
      <c r="F67" s="4">
        <v>150</v>
      </c>
      <c r="G67" s="4" t="s">
        <v>484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150</v>
      </c>
      <c r="O67" s="3">
        <f>=B67*(N67*F67/10000)*J67</f>
      </c>
    </row>
    <row r="68" spans="1:15" x14ac:dyDescent="0.25">
      <c r="A68" s="2" t="s">
        <v>485</v>
      </c>
      <c r="B68" s="4">
        <v>1</v>
      </c>
      <c r="C68" s="4" t="s">
        <v>27</v>
      </c>
      <c r="D68" s="4"/>
      <c r="E68" s="4"/>
      <c r="F68" s="4">
        <v>19.5</v>
      </c>
      <c r="G68" s="4" t="s">
        <v>486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100</v>
      </c>
      <c r="O68" s="3">
        <f>=B68*(N68*F68/10000)*J68</f>
      </c>
    </row>
    <row r="69" spans="1:15" x14ac:dyDescent="0.25">
      <c r="A69" s="2" t="s">
        <v>487</v>
      </c>
      <c r="B69" s="4">
        <v>1</v>
      </c>
      <c r="C69" s="4" t="s">
        <v>27</v>
      </c>
      <c r="D69" s="4"/>
      <c r="E69" s="4"/>
      <c r="F69" s="4">
        <v>40</v>
      </c>
      <c r="G69" s="4" t="s">
        <v>488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54.5</v>
      </c>
      <c r="O69" s="3">
        <f>=B69*(N69*F69/10000)*J69</f>
      </c>
    </row>
    <row r="70" spans="1:15" x14ac:dyDescent="0.25">
      <c r="A70" s="2" t="s">
        <v>489</v>
      </c>
      <c r="B70" s="4">
        <v>1</v>
      </c>
      <c r="C70" s="4" t="s">
        <v>27</v>
      </c>
      <c r="D70" s="4"/>
      <c r="E70" s="4"/>
      <c r="F70" s="4">
        <v>100</v>
      </c>
      <c r="G70" s="4" t="s">
        <v>490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125</v>
      </c>
      <c r="O70" s="3">
        <f>=B70*(N70*F70/10000)*J70</f>
      </c>
    </row>
    <row r="71" spans="1:15" x14ac:dyDescent="0.25">
      <c r="A71" s="2" t="s">
        <v>491</v>
      </c>
      <c r="B71" s="4">
        <v>1</v>
      </c>
      <c r="C71" s="4" t="s">
        <v>27</v>
      </c>
      <c r="D71" s="4"/>
      <c r="E71" s="4"/>
      <c r="F71" s="4">
        <v>45</v>
      </c>
      <c r="G71" s="4" t="s">
        <v>492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37</v>
      </c>
      <c r="O71" s="3">
        <f>=B71*(N71*F71/10000)*J71</f>
      </c>
    </row>
    <row r="72" spans="1:15" x14ac:dyDescent="0.25">
      <c r="A72" s="2" t="s">
        <v>493</v>
      </c>
      <c r="B72" s="4">
        <v>1</v>
      </c>
      <c r="C72" s="4" t="s">
        <v>27</v>
      </c>
      <c r="D72" s="4"/>
      <c r="E72" s="4"/>
      <c r="F72" s="4">
        <v>250</v>
      </c>
      <c r="G72" s="4" t="s">
        <v>494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12.5</v>
      </c>
      <c r="O72" s="3">
        <f>=B72*(N72*F72/10000)*J72</f>
      </c>
    </row>
    <row r="73" spans="1:15" x14ac:dyDescent="0.25">
      <c r="A73" s="2" t="s">
        <v>495</v>
      </c>
      <c r="B73" s="4">
        <v>1</v>
      </c>
      <c r="C73" s="4" t="s">
        <v>27</v>
      </c>
      <c r="D73" s="4"/>
      <c r="E73" s="4"/>
      <c r="F73" s="4">
        <v>100</v>
      </c>
      <c r="G73" s="4" t="s">
        <v>496</v>
      </c>
      <c r="H73" s="4"/>
      <c r="I73" s="4"/>
      <c r="J73" s="4">
        <v>4.58</v>
      </c>
      <c r="K73" s="4">
        <v>2</v>
      </c>
      <c r="L73" s="4"/>
      <c r="M73" s="4" t="s">
        <v>18</v>
      </c>
      <c r="N73" s="4">
        <v>57.5</v>
      </c>
      <c r="O73" s="3">
        <f>=B73*(N73*F73/10000)*J73</f>
      </c>
    </row>
    <row r="74" spans="1:15" x14ac:dyDescent="0.25">
      <c r="A74" s="2" t="s">
        <v>497</v>
      </c>
      <c r="B74" s="4">
        <v>1</v>
      </c>
      <c r="C74" s="4" t="s">
        <v>27</v>
      </c>
      <c r="D74" s="4"/>
      <c r="E74" s="4"/>
      <c r="F74" s="4">
        <v>132</v>
      </c>
      <c r="G74" s="4" t="s">
        <v>498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100</v>
      </c>
      <c r="O74" s="3">
        <f>=B74*(N74*F74/10000)*J74</f>
      </c>
    </row>
    <row r="75" spans="1:15" x14ac:dyDescent="0.25">
      <c r="A75" s="2" t="s">
        <v>499</v>
      </c>
      <c r="B75" s="4">
        <v>1</v>
      </c>
      <c r="C75" s="4" t="s">
        <v>27</v>
      </c>
      <c r="D75" s="4"/>
      <c r="E75" s="4"/>
      <c r="F75" s="4">
        <v>19.5</v>
      </c>
      <c r="G75" s="4" t="s">
        <v>500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60</v>
      </c>
      <c r="O75" s="3">
        <f>=B75*(N75*F75/10000)*J75</f>
      </c>
    </row>
    <row r="76" spans="1:15" x14ac:dyDescent="0.25">
      <c r="A76" s="2" t="s">
        <v>501</v>
      </c>
      <c r="B76" s="4">
        <v>1</v>
      </c>
      <c r="C76" s="4" t="s">
        <v>27</v>
      </c>
      <c r="D76" s="4"/>
      <c r="E76" s="4"/>
      <c r="F76" s="4">
        <v>40</v>
      </c>
      <c r="G76" s="4" t="s">
        <v>502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92</v>
      </c>
      <c r="O76" s="3">
        <f>=B76*(N76*F76/10000)*J76</f>
      </c>
    </row>
    <row r="77" spans="1:15" x14ac:dyDescent="0.25">
      <c r="A77" s="2" t="s">
        <v>503</v>
      </c>
      <c r="B77" s="4">
        <v>1</v>
      </c>
      <c r="C77" s="4" t="s">
        <v>27</v>
      </c>
      <c r="D77" s="4"/>
      <c r="E77" s="4"/>
      <c r="F77" s="4">
        <v>57.5</v>
      </c>
      <c r="G77" s="4" t="s">
        <v>504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59.5</v>
      </c>
      <c r="O77" s="3">
        <f>=B77*(N77*F77/10000)*J77</f>
      </c>
    </row>
    <row r="78" spans="1:15" x14ac:dyDescent="0.25">
      <c r="A78" s="2" t="s">
        <v>505</v>
      </c>
      <c r="B78" s="4">
        <v>0</v>
      </c>
      <c r="C78" s="4" t="s">
        <v>27</v>
      </c>
      <c r="D78" s="4"/>
      <c r="E78" s="4"/>
      <c r="F78" s="4">
        <v>37</v>
      </c>
      <c r="G78" s="4" t="s">
        <v>506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45</v>
      </c>
      <c r="O78" s="3">
        <f>=B78*(N78*F78/10000)*J78</f>
      </c>
    </row>
    <row r="79" spans="1:15" x14ac:dyDescent="0.25">
      <c r="A79" s="2" t="s">
        <v>507</v>
      </c>
      <c r="B79" s="4">
        <v>1</v>
      </c>
      <c r="C79" s="4" t="s">
        <v>27</v>
      </c>
      <c r="D79" s="4"/>
      <c r="E79" s="4"/>
      <c r="F79" s="4">
        <v>23.5</v>
      </c>
      <c r="G79" s="4" t="s">
        <v>508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58.5</v>
      </c>
      <c r="O79" s="3">
        <f>=B79*(N79*F79/10000)*J79</f>
      </c>
    </row>
    <row r="80" spans="1:15" x14ac:dyDescent="0.25">
      <c r="A80" s="2" t="s">
        <v>509</v>
      </c>
      <c r="B80" s="4">
        <v>6</v>
      </c>
      <c r="C80" s="4" t="s">
        <v>27</v>
      </c>
      <c r="D80" s="4"/>
      <c r="E80" s="4"/>
      <c r="F80" s="4">
        <v>10</v>
      </c>
      <c r="G80" s="4" t="s">
        <v>510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15</v>
      </c>
      <c r="O80" s="3">
        <f>=B80*(N80*F80/10000)*J80</f>
      </c>
    </row>
    <row r="81" spans="1:15" x14ac:dyDescent="0.25">
      <c r="A81" s="2" t="s">
        <v>511</v>
      </c>
      <c r="B81" s="4">
        <v>4</v>
      </c>
      <c r="C81" s="4" t="s">
        <v>27</v>
      </c>
      <c r="D81" s="4"/>
      <c r="E81" s="4"/>
      <c r="F81" s="4">
        <v>43</v>
      </c>
      <c r="G81" s="4" t="s">
        <v>512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120</v>
      </c>
      <c r="O81" s="3">
        <f>=B81*(N81*F81/10000)*J81</f>
      </c>
    </row>
    <row r="82" spans="1:15" x14ac:dyDescent="0.25">
      <c r="A82" s="2" t="s">
        <v>513</v>
      </c>
      <c r="B82" s="4">
        <v>1</v>
      </c>
      <c r="C82" s="4" t="s">
        <v>27</v>
      </c>
      <c r="D82" s="4"/>
      <c r="E82" s="4"/>
      <c r="F82" s="4">
        <v>15</v>
      </c>
      <c r="G82" s="4" t="s">
        <v>514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45</v>
      </c>
      <c r="O82" s="3">
        <f>=B82*(N82*F82/10000)*J82</f>
      </c>
    </row>
    <row r="83" spans="1:15" x14ac:dyDescent="0.25">
      <c r="A83" s="2" t="s">
        <v>515</v>
      </c>
      <c r="B83" s="4">
        <v>3</v>
      </c>
      <c r="C83" s="4" t="s">
        <v>27</v>
      </c>
      <c r="D83" s="4"/>
      <c r="E83" s="4"/>
      <c r="F83" s="4">
        <v>20</v>
      </c>
      <c r="G83" s="4" t="s">
        <v>516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45</v>
      </c>
      <c r="O83" s="3">
        <f>=B83*(N83*F83/10000)*J83</f>
      </c>
    </row>
    <row r="84" spans="1:15" x14ac:dyDescent="0.25">
      <c r="A84" s="2" t="s">
        <v>517</v>
      </c>
      <c r="B84" s="4">
        <v>1</v>
      </c>
      <c r="C84" s="4" t="s">
        <v>27</v>
      </c>
      <c r="D84" s="4"/>
      <c r="E84" s="4"/>
      <c r="F84" s="4">
        <v>52.5</v>
      </c>
      <c r="G84" s="4" t="s">
        <v>518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200</v>
      </c>
      <c r="O84" s="3">
        <f>=B84*(N84*F84/10000)*J84</f>
      </c>
    </row>
    <row r="85" spans="1:15" x14ac:dyDescent="0.25">
      <c r="A85" s="2" t="s">
        <v>519</v>
      </c>
      <c r="B85" s="4">
        <v>1</v>
      </c>
      <c r="C85" s="4" t="s">
        <v>27</v>
      </c>
      <c r="D85" s="4"/>
      <c r="E85" s="4"/>
      <c r="F85" s="4">
        <v>22.5</v>
      </c>
      <c r="G85" s="4" t="s">
        <v>520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300</v>
      </c>
      <c r="O85" s="3">
        <f>=B85*(N85*F85/10000)*J85</f>
      </c>
    </row>
    <row r="86" spans="1:15" x14ac:dyDescent="0.25">
      <c r="A86" s="2" t="s">
        <v>521</v>
      </c>
      <c r="B86" s="4">
        <v>1</v>
      </c>
      <c r="C86" s="4" t="s">
        <v>27</v>
      </c>
      <c r="D86" s="4"/>
      <c r="E86" s="4"/>
      <c r="F86" s="4">
        <v>35.5</v>
      </c>
      <c r="G86" s="4" t="s">
        <v>522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100</v>
      </c>
      <c r="O86" s="3">
        <f>=B86*(N86*F86/10000)*J86</f>
      </c>
    </row>
    <row r="87" spans="1:15" x14ac:dyDescent="0.25">
      <c r="A87" s="2" t="s">
        <v>523</v>
      </c>
      <c r="B87" s="4">
        <v>1</v>
      </c>
      <c r="C87" s="4" t="s">
        <v>27</v>
      </c>
      <c r="D87" s="4"/>
      <c r="E87" s="4"/>
      <c r="F87" s="4">
        <v>42</v>
      </c>
      <c r="G87" s="4" t="s">
        <v>524</v>
      </c>
      <c r="H87" s="4"/>
      <c r="I87" s="4"/>
      <c r="J87" s="4">
        <v>4.58</v>
      </c>
      <c r="K87" s="4">
        <v>3</v>
      </c>
      <c r="L87" s="4"/>
      <c r="M87" s="4" t="s">
        <v>18</v>
      </c>
      <c r="N87" s="4">
        <v>60</v>
      </c>
      <c r="O87" s="3">
        <f>=B87*(N87*F87/10000)*J87</f>
      </c>
    </row>
    <row r="88" spans="1:15" x14ac:dyDescent="0.25">
      <c r="A88" s="2" t="s">
        <v>525</v>
      </c>
      <c r="B88" s="4">
        <v>1</v>
      </c>
      <c r="C88" s="4" t="s">
        <v>27</v>
      </c>
      <c r="D88" s="4"/>
      <c r="E88" s="4"/>
      <c r="F88" s="4">
        <v>35.5</v>
      </c>
      <c r="G88" s="4" t="s">
        <v>526</v>
      </c>
      <c r="H88" s="4"/>
      <c r="I88" s="4"/>
      <c r="J88" s="4">
        <v>4.58</v>
      </c>
      <c r="K88" s="4">
        <v>3</v>
      </c>
      <c r="L88" s="4"/>
      <c r="M88" s="4" t="s">
        <v>18</v>
      </c>
      <c r="N88" s="4">
        <v>162</v>
      </c>
      <c r="O88" s="3">
        <f>=B88*(N88*F88/10000)*J88</f>
      </c>
    </row>
    <row r="89" spans="1:15" x14ac:dyDescent="0.25">
      <c r="A89" s="2" t="s">
        <v>527</v>
      </c>
      <c r="B89" s="4">
        <v>1</v>
      </c>
      <c r="C89" s="4" t="s">
        <v>27</v>
      </c>
      <c r="D89" s="4"/>
      <c r="E89" s="4"/>
      <c r="F89" s="4">
        <v>18</v>
      </c>
      <c r="G89" s="4" t="s">
        <v>528</v>
      </c>
      <c r="H89" s="4"/>
      <c r="I89" s="4"/>
      <c r="J89" s="4">
        <v>4.58</v>
      </c>
      <c r="K89" s="4">
        <v>3</v>
      </c>
      <c r="L89" s="4"/>
      <c r="M89" s="4" t="s">
        <v>18</v>
      </c>
      <c r="N89" s="4">
        <v>405</v>
      </c>
      <c r="O89" s="3">
        <f>=B89*(N89*F89/10000)*J89</f>
      </c>
    </row>
    <row r="90" spans="1:15" x14ac:dyDescent="0.25">
      <c r="A90" s="2" t="s">
        <v>529</v>
      </c>
      <c r="B90" s="4">
        <v>1</v>
      </c>
      <c r="C90" s="4" t="s">
        <v>27</v>
      </c>
      <c r="D90" s="4"/>
      <c r="E90" s="4"/>
      <c r="F90" s="4">
        <v>100</v>
      </c>
      <c r="G90" s="4" t="s">
        <v>530</v>
      </c>
      <c r="H90" s="4"/>
      <c r="I90" s="4"/>
      <c r="J90" s="4">
        <v>4.58</v>
      </c>
      <c r="K90" s="4">
        <v>3</v>
      </c>
      <c r="L90" s="4"/>
      <c r="M90" s="4" t="s">
        <v>18</v>
      </c>
      <c r="N90" s="4">
        <v>150</v>
      </c>
      <c r="O90" s="3">
        <f>=B90*(N90*F90/10000)*J90</f>
      </c>
    </row>
    <row r="91" spans="1:15" x14ac:dyDescent="0.25">
      <c r="A91" s="2" t="s">
        <v>531</v>
      </c>
      <c r="B91" s="4">
        <v>2</v>
      </c>
      <c r="C91" s="4" t="s">
        <v>27</v>
      </c>
      <c r="D91" s="4"/>
      <c r="E91" s="4"/>
      <c r="F91" s="4">
        <v>21</v>
      </c>
      <c r="G91" s="4" t="s">
        <v>532</v>
      </c>
      <c r="H91" s="4"/>
      <c r="I91" s="4"/>
      <c r="J91" s="4">
        <v>4.58</v>
      </c>
      <c r="K91" s="4">
        <v>3</v>
      </c>
      <c r="L91" s="4"/>
      <c r="M91" s="4" t="s">
        <v>18</v>
      </c>
      <c r="N91" s="4">
        <v>29</v>
      </c>
      <c r="O91" s="3">
        <f>=B91*(N91*F91/10000)*J91</f>
      </c>
    </row>
    <row r="92" spans="1:15" x14ac:dyDescent="0.25">
      <c r="A92" s="2" t="s">
        <v>533</v>
      </c>
      <c r="B92" s="4">
        <v>1</v>
      </c>
      <c r="C92" s="4" t="s">
        <v>27</v>
      </c>
      <c r="D92" s="4"/>
      <c r="E92" s="4"/>
      <c r="F92" s="4">
        <v>47</v>
      </c>
      <c r="G92" s="4" t="s">
        <v>534</v>
      </c>
      <c r="H92" s="4"/>
      <c r="I92" s="4"/>
      <c r="J92" s="4">
        <v>4.58</v>
      </c>
      <c r="K92" s="4">
        <v>3</v>
      </c>
      <c r="L92" s="4"/>
      <c r="M92" s="4" t="s">
        <v>18</v>
      </c>
      <c r="N92" s="4">
        <v>125</v>
      </c>
      <c r="O92" s="3">
        <f>=B92*(N92*F92/10000)*J92</f>
      </c>
    </row>
    <row r="93" spans="1:15" x14ac:dyDescent="0.25">
      <c r="A93" s="2" t="s">
        <v>535</v>
      </c>
      <c r="B93" s="4">
        <v>1</v>
      </c>
      <c r="C93" s="4" t="s">
        <v>27</v>
      </c>
      <c r="D93" s="4"/>
      <c r="E93" s="4"/>
      <c r="F93" s="4">
        <v>120</v>
      </c>
      <c r="G93" s="4" t="s">
        <v>536</v>
      </c>
      <c r="H93" s="4"/>
      <c r="I93" s="4"/>
      <c r="J93" s="4">
        <v>4.58</v>
      </c>
      <c r="K93" s="4">
        <v>3</v>
      </c>
      <c r="L93" s="4"/>
      <c r="M93" s="4" t="s">
        <v>18</v>
      </c>
      <c r="N93" s="4">
        <v>180</v>
      </c>
      <c r="O93" s="3">
        <f>=B93*(N93*F93/10000)*J93</f>
      </c>
    </row>
    <row r="94" spans="1:15" x14ac:dyDescent="0.25">
      <c r="A94" s="2" t="s">
        <v>537</v>
      </c>
      <c r="B94" s="4">
        <v>1</v>
      </c>
      <c r="C94" s="4" t="s">
        <v>27</v>
      </c>
      <c r="D94" s="4"/>
      <c r="E94" s="4"/>
      <c r="F94" s="4">
        <v>115</v>
      </c>
      <c r="G94" s="4" t="s">
        <v>538</v>
      </c>
      <c r="H94" s="4"/>
      <c r="I94" s="4"/>
      <c r="J94" s="4">
        <v>4.58</v>
      </c>
      <c r="K94" s="4">
        <v>3</v>
      </c>
      <c r="L94" s="4"/>
      <c r="M94" s="4" t="s">
        <v>18</v>
      </c>
      <c r="N94" s="4">
        <v>200</v>
      </c>
      <c r="O94" s="3">
        <f>=B94*(N94*F94/10000)*J94</f>
      </c>
    </row>
    <row r="95" spans="1:15" x14ac:dyDescent="0.2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 t="s">
        <v>25</v>
      </c>
      <c r="O95" s="6">
        <f>=SUM(O2:O94)</f>
      </c>
    </row>
  </sheetData>
  <sheetProtection sheet="1" algorithmName="SHA-512" hashValue="KMf3pqidfqpl+g35Xr2Cl+f5XYcqpHT8sBr+r9HPhqW8LnkjtGd3R2q95/o6KCRBD9DyjknV4h1szJySQL4Csg==" saltValue="y5NrcQktKB8BTsEvCoZSL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539</v>
      </c>
      <c r="B2" s="4">
        <v>1</v>
      </c>
      <c r="C2" s="4" t="s">
        <v>27</v>
      </c>
      <c r="D2" s="4"/>
      <c r="E2" s="4"/>
      <c r="F2" s="4">
        <v>200</v>
      </c>
      <c r="G2" s="4" t="s">
        <v>540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541</v>
      </c>
      <c r="B3" s="4">
        <v>1</v>
      </c>
      <c r="C3" s="4" t="s">
        <v>27</v>
      </c>
      <c r="D3" s="4"/>
      <c r="E3" s="4"/>
      <c r="F3" s="4">
        <v>30.5</v>
      </c>
      <c r="G3" s="4" t="s">
        <v>542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543</v>
      </c>
      <c r="B4" s="4">
        <v>1</v>
      </c>
      <c r="C4" s="4" t="s">
        <v>27</v>
      </c>
      <c r="D4" s="4"/>
      <c r="E4" s="4"/>
      <c r="F4" s="4">
        <v>45</v>
      </c>
      <c r="G4" s="4" t="s">
        <v>544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545</v>
      </c>
      <c r="B5" s="4">
        <v>6</v>
      </c>
      <c r="C5" s="4" t="s">
        <v>27</v>
      </c>
      <c r="D5" s="4"/>
      <c r="E5" s="4"/>
      <c r="F5" s="4">
        <v>45</v>
      </c>
      <c r="G5" s="4" t="s">
        <v>546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547</v>
      </c>
      <c r="B6" s="4">
        <v>0</v>
      </c>
      <c r="C6" s="4" t="s">
        <v>27</v>
      </c>
      <c r="D6" s="4"/>
      <c r="E6" s="4"/>
      <c r="F6" s="4">
        <v>250</v>
      </c>
      <c r="G6" s="4" t="s">
        <v>548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549</v>
      </c>
      <c r="B7" s="4">
        <v>2</v>
      </c>
      <c r="C7" s="4" t="s">
        <v>27</v>
      </c>
      <c r="D7" s="4"/>
      <c r="E7" s="4"/>
      <c r="F7" s="4">
        <v>50</v>
      </c>
      <c r="G7" s="4" t="s">
        <v>550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 algorithmName="SHA-512" hashValue="3EwmicQAJAdvD1r3ChS8thpwRAwfBDKYUUoDQq06shKADXEFgUHDCklr3iIxPIsTmC1f7q7VlB9nwHxW1bNKqw==" saltValue="/kXUHpGDfcjXmOfMR7O4d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551</v>
      </c>
      <c r="B2" s="4">
        <v>1</v>
      </c>
      <c r="C2" s="4" t="s">
        <v>27</v>
      </c>
      <c r="D2" s="4"/>
      <c r="E2" s="4"/>
      <c r="F2" s="4">
        <v>87</v>
      </c>
      <c r="G2" s="4" t="s">
        <v>552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553</v>
      </c>
      <c r="B3" s="4">
        <v>1</v>
      </c>
      <c r="C3" s="4" t="s">
        <v>27</v>
      </c>
      <c r="D3" s="4"/>
      <c r="E3" s="4"/>
      <c r="F3" s="4">
        <v>35</v>
      </c>
      <c r="G3" s="4" t="s">
        <v>554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555</v>
      </c>
      <c r="B4" s="4">
        <v>1</v>
      </c>
      <c r="C4" s="4" t="s">
        <v>27</v>
      </c>
      <c r="D4" s="4"/>
      <c r="E4" s="4"/>
      <c r="F4" s="4">
        <v>35</v>
      </c>
      <c r="G4" s="4" t="s">
        <v>556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 algorithmName="SHA-512" hashValue="fEQJyw2pDwKcOm8ntBbPSNms0K85VaPwNzRnBU5DtqSdfBsRAgU+L392kRGRNbx9ggYYWogehc1RErnn6sV/Ow==" saltValue="guYaEO72I9mdDeq7Nz1P9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557</v>
      </c>
      <c r="B2" s="4">
        <v>7</v>
      </c>
      <c r="C2" s="4" t="s">
        <v>27</v>
      </c>
      <c r="D2" s="4"/>
      <c r="E2" s="4"/>
      <c r="F2" s="4">
        <v>30</v>
      </c>
      <c r="G2" s="4" t="s">
        <v>558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559</v>
      </c>
      <c r="B3" s="4">
        <v>7</v>
      </c>
      <c r="C3" s="4" t="s">
        <v>27</v>
      </c>
      <c r="D3" s="4"/>
      <c r="E3" s="4"/>
      <c r="F3" s="4">
        <v>25</v>
      </c>
      <c r="G3" s="4" t="s">
        <v>560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561</v>
      </c>
      <c r="B4" s="4">
        <v>1</v>
      </c>
      <c r="C4" s="4" t="s">
        <v>27</v>
      </c>
      <c r="D4" s="4"/>
      <c r="E4" s="4"/>
      <c r="F4" s="4">
        <v>42</v>
      </c>
      <c r="G4" s="4" t="s">
        <v>562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563</v>
      </c>
      <c r="B5" s="4">
        <v>3</v>
      </c>
      <c r="C5" s="4" t="s">
        <v>27</v>
      </c>
      <c r="D5" s="4"/>
      <c r="E5" s="4"/>
      <c r="F5" s="4">
        <v>10</v>
      </c>
      <c r="G5" s="4" t="s">
        <v>564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565</v>
      </c>
      <c r="B6" s="4">
        <v>1</v>
      </c>
      <c r="C6" s="4" t="s">
        <v>27</v>
      </c>
      <c r="D6" s="4"/>
      <c r="E6" s="4"/>
      <c r="F6" s="4">
        <v>50</v>
      </c>
      <c r="G6" s="4" t="s">
        <v>566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 algorithmName="SHA-512" hashValue="0uVldZEsZzaNIP18V1JYQ/Hz4nNgWHWyh9I0cgmvwy7MH5dH1MabPybvZKiE71Km3w/e2yUmX4w9p5zAuyggqQ==" saltValue="QjO2AgTcrkK8hng6Lt6gc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6" customWidth="1"/>
    <col min="2" max="2" width="20" style="1" customWidth="1"/>
  </cols>
  <sheetData>
    <row r="1" spans="1:2" s="7" customFormat="1" x14ac:dyDescent="0.25">
      <c r="A1" s="8" t="s">
        <v>567</v>
      </c>
      <c r="B1" s="9" t="s">
        <v>568</v>
      </c>
    </row>
    <row r="2" spans="1:2" x14ac:dyDescent="0.25">
      <c r="A2" s="10" t="s">
        <v>569</v>
      </c>
      <c r="B2" s="11">
        <f>=afstandshouder!O6</f>
      </c>
    </row>
    <row r="3" spans="1:2" x14ac:dyDescent="0.25">
      <c r="A3" s="10" t="s">
        <v>570</v>
      </c>
      <c r="B3" s="11">
        <f>=hout!O6</f>
      </c>
    </row>
    <row r="4" spans="1:2" x14ac:dyDescent="0.25">
      <c r="A4" s="10" t="s">
        <v>571</v>
      </c>
      <c r="B4" s="11">
        <f>=plexi_opaal!O3</f>
      </c>
    </row>
    <row r="5" spans="1:2" x14ac:dyDescent="0.25">
      <c r="A5" s="10" t="s">
        <v>572</v>
      </c>
      <c r="B5" s="11">
        <f>=forex_zwart!O37</f>
      </c>
    </row>
    <row r="6" spans="1:2" x14ac:dyDescent="0.25">
      <c r="A6" s="10" t="s">
        <v>573</v>
      </c>
      <c r="B6" s="11">
        <f>=forex_wit!O56</f>
      </c>
    </row>
    <row r="7" spans="1:2" x14ac:dyDescent="0.25">
      <c r="A7" s="10" t="s">
        <v>574</v>
      </c>
      <c r="B7" s="11">
        <f>=zwart!O73</f>
      </c>
    </row>
    <row r="8" spans="1:2" x14ac:dyDescent="0.25">
      <c r="A8" s="10" t="s">
        <v>575</v>
      </c>
      <c r="B8" s="11">
        <f>=wit!O95</f>
      </c>
    </row>
    <row r="9" spans="1:2" x14ac:dyDescent="0.25">
      <c r="A9" s="10" t="s">
        <v>576</v>
      </c>
      <c r="B9" s="11">
        <f>=kanaalplaten!O8</f>
      </c>
    </row>
    <row r="10" spans="1:2" x14ac:dyDescent="0.25">
      <c r="A10" s="10" t="s">
        <v>577</v>
      </c>
      <c r="B10" s="11">
        <f>=brushed_steel!O5</f>
      </c>
    </row>
    <row r="11" spans="1:2" x14ac:dyDescent="0.25">
      <c r="A11" s="10" t="s">
        <v>578</v>
      </c>
      <c r="B11" s="11">
        <f>=plexiglas!O7</f>
      </c>
    </row>
    <row r="12" spans="1:2" x14ac:dyDescent="0.25">
      <c r="A12" s="12" t="s">
        <v>579</v>
      </c>
      <c r="B12" s="13">
        <f>=SUM(B2:B11)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afstandshouder</vt:lpstr>
      <vt:lpstr>hout</vt:lpstr>
      <vt:lpstr>plexi_opaal</vt:lpstr>
      <vt:lpstr>forex_zwart</vt:lpstr>
      <vt:lpstr>forex_wit</vt:lpstr>
      <vt:lpstr>zwart</vt:lpstr>
      <vt:lpstr>wit</vt:lpstr>
      <vt:lpstr>kanaalplaten</vt:lpstr>
      <vt:lpstr>brushed_steel</vt:lpstr>
      <vt:lpstr>plexiglas</vt:lpstr>
      <vt:lpstr>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2024-12-20T11:12:22Z</dcterms:created>
  <dcterms:modified xsi:type="dcterms:W3CDTF">2024-12-20T11:12:22Z</dcterms:modified>
</cp:coreProperties>
</file>