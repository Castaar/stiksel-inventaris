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rden_afstandshouder" state="visible" r:id="rId4"/>
    <sheet sheetId="2" name="borden_hout" state="visible" r:id="rId5"/>
    <sheet sheetId="3" name="borden_plexi_opaal" state="visible" r:id="rId6"/>
    <sheet sheetId="4" name="borden_forex_zwart" state="visible" r:id="rId7"/>
    <sheet sheetId="5" name="borden_forex_wit" state="visible" r:id="rId8"/>
    <sheet sheetId="6" name="borden_zwart" state="visible" r:id="rId9"/>
    <sheet sheetId="7" name="borden_wit" state="visible" r:id="rId10"/>
    <sheet sheetId="8" name="borden_kanaalplaten" state="visible" r:id="rId11"/>
    <sheet sheetId="9" name="borden_brushed_steel" state="visible" r:id="rId12"/>
    <sheet sheetId="10" name="borden_plexiglas" state="visible" r:id="rId13"/>
    <sheet sheetId="11" name="stock_rollup" state="visible" r:id="rId14"/>
    <sheet sheetId="12" name="stock_snijfolie" state="visible" r:id="rId15"/>
    <sheet sheetId="13" name="stock_interieurfolie" state="visible" r:id="rId16"/>
    <sheet sheetId="14" name="stock_flex" state="visible" r:id="rId17"/>
    <sheet sheetId="15" name="stock_printfolie" state="visible" r:id="rId18"/>
    <sheet sheetId="16" name="stock_swf" state="visible" r:id="rId19"/>
    <sheet sheetId="17" name="stock_allerlei" state="visible" r:id="rId20"/>
    <sheet sheetId="18" name="stock_magneetfolie" state="visible" r:id="rId21"/>
    <sheet sheetId="19" name="stock_buizen" state="visible" r:id="rId22"/>
    <sheet sheetId="20" name="stock_zandstraal" state="visible" r:id="rId23"/>
    <sheet sheetId="21" name="stock_rekkers" state="visible" r:id="rId24"/>
    <sheet sheetId="22" name="TOTALS" state="visible" r:id="rId25"/>
  </sheets>
  <calcPr calcId="171027"/>
</workbook>
</file>

<file path=xl/sharedStrings.xml><?xml version="1.0" encoding="utf-8"?>
<sst xmlns="http://schemas.openxmlformats.org/spreadsheetml/2006/main" count="2500" uniqueCount="1063">
  <si>
    <t>_id</t>
  </si>
  <si>
    <t>available</t>
  </si>
  <si>
    <t>calculation_type</t>
  </si>
  <si>
    <t>depth_cm</t>
  </si>
  <si>
    <t>format</t>
  </si>
  <si>
    <t>height_cm</t>
  </si>
  <si>
    <t>name</t>
  </si>
  <si>
    <t>price_per_meter</t>
  </si>
  <si>
    <t>price_per_piece</t>
  </si>
  <si>
    <t>price_per_square_meter</t>
  </si>
  <si>
    <t>thickness</t>
  </si>
  <si>
    <t>total_meter_per_rol</t>
  </si>
  <si>
    <t>unit</t>
  </si>
  <si>
    <t>width_cm</t>
  </si>
  <si>
    <t>subtotal</t>
  </si>
  <si>
    <t>676521ea5ff93f7b6d3f9219</t>
  </si>
  <si>
    <t>stuk</t>
  </si>
  <si>
    <t>Zwart draai</t>
  </si>
  <si>
    <t>stuks</t>
  </si>
  <si>
    <t>676521ea5ff93f7b6d3f921a</t>
  </si>
  <si>
    <t>Klein</t>
  </si>
  <si>
    <t>676521ea5ff93f7b6d3f921b</t>
  </si>
  <si>
    <t xml:space="preserve">Middel </t>
  </si>
  <si>
    <t>676521ea5ff93f7b6d3f921c</t>
  </si>
  <si>
    <t xml:space="preserve">Groot </t>
  </si>
  <si>
    <t>Total</t>
  </si>
  <si>
    <t>676521e55ff93f7b6d3f91d9</t>
  </si>
  <si>
    <t>bord</t>
  </si>
  <si>
    <t>410 X 7,5 X 2</t>
  </si>
  <si>
    <t>676521e55ff93f7b6d3f91da</t>
  </si>
  <si>
    <t>212 X 6,5 X 6</t>
  </si>
  <si>
    <t>676521e55ff93f7b6d3f91db</t>
  </si>
  <si>
    <t>3 X 8 X 5,5</t>
  </si>
  <si>
    <t>676521e55ff93f7b6d3f91dc</t>
  </si>
  <si>
    <t>180 X 9 X 8,5</t>
  </si>
  <si>
    <t>676521e55ff93f7b6d3f91dd</t>
  </si>
  <si>
    <t>180 X 100</t>
  </si>
  <si>
    <t>676521e25ff93f7b6d3f91b0</t>
  </si>
  <si>
    <t>120x100</t>
  </si>
  <si>
    <t>676521e25ff93f7b6d3f91b1</t>
  </si>
  <si>
    <t>122x118</t>
  </si>
  <si>
    <t>676521e25ff93f7b6d3f91b2</t>
  </si>
  <si>
    <t>30 x 40</t>
  </si>
  <si>
    <t>676521e25ff93f7b6d3f91b3</t>
  </si>
  <si>
    <t>150x147</t>
  </si>
  <si>
    <t>676521e25ff93f7b6d3f91b4</t>
  </si>
  <si>
    <t>32x24</t>
  </si>
  <si>
    <t>676521e25ff93f7b6d3f91b5</t>
  </si>
  <si>
    <t>200x18</t>
  </si>
  <si>
    <t>676521e25ff93f7b6d3f91b6</t>
  </si>
  <si>
    <t>204x120 ZW</t>
  </si>
  <si>
    <t>676521e25ff93f7b6d3f91b7</t>
  </si>
  <si>
    <t>23x9,5</t>
  </si>
  <si>
    <t>676521e25ff93f7b6d3f91b8</t>
  </si>
  <si>
    <t>24 x 18</t>
  </si>
  <si>
    <t>676521e25ff93f7b6d3f91b9</t>
  </si>
  <si>
    <t>24x97 ZW</t>
  </si>
  <si>
    <t>676521e25ff93f7b6d3f91ba</t>
  </si>
  <si>
    <t>30x30</t>
  </si>
  <si>
    <t>676521e25ff93f7b6d3f91bb</t>
  </si>
  <si>
    <t>32x29</t>
  </si>
  <si>
    <t>676521e35ff93f7b6d3f91bc</t>
  </si>
  <si>
    <t>34x29</t>
  </si>
  <si>
    <t>676521e35ff93f7b6d3f91bd</t>
  </si>
  <si>
    <t>40 x 18</t>
  </si>
  <si>
    <t>676521e35ff93f7b6d3f91be</t>
  </si>
  <si>
    <t>40 x 40</t>
  </si>
  <si>
    <t>676521e35ff93f7b6d3f91c1</t>
  </si>
  <si>
    <t>100 x 40</t>
  </si>
  <si>
    <t>676521e35ff93f7b6d3f91c2</t>
  </si>
  <si>
    <t>53 x 11</t>
  </si>
  <si>
    <t>676521e35ff93f7b6d3f91c3</t>
  </si>
  <si>
    <t>97 x 24</t>
  </si>
  <si>
    <t>676521e35ff93f7b6d3f91c4</t>
  </si>
  <si>
    <t>50 x 18</t>
  </si>
  <si>
    <t>676521e35ff93f7b6d3f91c5</t>
  </si>
  <si>
    <t>50 x 50</t>
  </si>
  <si>
    <t>676521e35ff93f7b6d3f91c6</t>
  </si>
  <si>
    <t>50x20</t>
  </si>
  <si>
    <t>676521e35ff93f7b6d3f91c7</t>
  </si>
  <si>
    <t>305 x 123</t>
  </si>
  <si>
    <t>676521e35ff93f7b6d3f91c8</t>
  </si>
  <si>
    <t>27 x 100</t>
  </si>
  <si>
    <t>676521e45ff93f7b6d3f91c9</t>
  </si>
  <si>
    <t>59x22</t>
  </si>
  <si>
    <t>676521e45ff93f7b6d3f91ca</t>
  </si>
  <si>
    <t>60 x 17,5</t>
  </si>
  <si>
    <t>676521e45ff93f7b6d3f91cb</t>
  </si>
  <si>
    <t>60x38</t>
  </si>
  <si>
    <t>676521e45ff93f7b6d3f91cc</t>
  </si>
  <si>
    <t>60x60 ZW</t>
  </si>
  <si>
    <t>676521e45ff93f7b6d3f91cd</t>
  </si>
  <si>
    <t>22,5 X 108,5</t>
  </si>
  <si>
    <t>676521e45ff93f7b6d3f91ce</t>
  </si>
  <si>
    <t>80 X 51</t>
  </si>
  <si>
    <t>676521e45ff93f7b6d3f91cf</t>
  </si>
  <si>
    <t>48,5 x 37</t>
  </si>
  <si>
    <t>676521e45ff93f7b6d3f91d1</t>
  </si>
  <si>
    <t>72 x 35</t>
  </si>
  <si>
    <t>676521e45ff93f7b6d3f91d2</t>
  </si>
  <si>
    <t>64 X 24@</t>
  </si>
  <si>
    <t>678135c22e2cbf8223441cb3</t>
  </si>
  <si>
    <t/>
  </si>
  <si>
    <t>34X24</t>
  </si>
  <si>
    <t>678135fc2e2cbf8223441cb5</t>
  </si>
  <si>
    <t>38X35</t>
  </si>
  <si>
    <t>67b499d7e3058867d1720a48</t>
  </si>
  <si>
    <t>106 x 33</t>
  </si>
  <si>
    <t>67b499ebe3058867d1720a49</t>
  </si>
  <si>
    <t>124 x 19</t>
  </si>
  <si>
    <t>67b499ffe3058867d1720a4a</t>
  </si>
  <si>
    <t>156 x 52</t>
  </si>
  <si>
    <t>67b49a33e3058867d1720a4c</t>
  </si>
  <si>
    <t>19 x 52</t>
  </si>
  <si>
    <t>67b49a5ee3058867d1720a4e</t>
  </si>
  <si>
    <t>68 x 37</t>
  </si>
  <si>
    <t>67d955c5c6ecddbb5a70d625</t>
  </si>
  <si>
    <t>110 x 30</t>
  </si>
  <si>
    <t>67d955e4c6ecddbb5a70d626</t>
  </si>
  <si>
    <t>52,5 x 54,5</t>
  </si>
  <si>
    <t>67d955fdc6ecddbb5a70d627</t>
  </si>
  <si>
    <t>42,5 x 43,5</t>
  </si>
  <si>
    <t>67e65d73251f4a0c82275a75</t>
  </si>
  <si>
    <t>147 x 43cm</t>
  </si>
  <si>
    <t>67e65d8b251f4a0c82275a76</t>
  </si>
  <si>
    <t>40 x 43cm</t>
  </si>
  <si>
    <t>68fb6dcd8036412eb7d7f10d</t>
  </si>
  <si>
    <t>43,5 x 39,5</t>
  </si>
  <si>
    <t>68fb6e50ef6946862c8b4d4c</t>
  </si>
  <si>
    <t>44 x 22,5</t>
  </si>
  <si>
    <t>68fb6e85ef6946862c8b4d4d</t>
  </si>
  <si>
    <t>160 x 15,5</t>
  </si>
  <si>
    <t>68fb6eb7ef6946862c8b4d4e</t>
  </si>
  <si>
    <t>160 x 41</t>
  </si>
  <si>
    <t>68fb6ee5ef6946862c8b4d4f</t>
  </si>
  <si>
    <t>305,5 x 40,8</t>
  </si>
  <si>
    <t>676521e65ff93f7b6d3f91e3</t>
  </si>
  <si>
    <t>50 X 20</t>
  </si>
  <si>
    <t>676521e65ff93f7b6d3f91e4</t>
  </si>
  <si>
    <t>122,5 X 20</t>
  </si>
  <si>
    <t>676521e65ff93f7b6d3f91e5</t>
  </si>
  <si>
    <t>34 X 29</t>
  </si>
  <si>
    <t>676521e65ff93f7b6d3f91e6</t>
  </si>
  <si>
    <t>32 X 29</t>
  </si>
  <si>
    <t>676521e65ff93f7b6d3f91e7</t>
  </si>
  <si>
    <t>42 x 29</t>
  </si>
  <si>
    <t>676521e65ff93f7b6d3f91e9</t>
  </si>
  <si>
    <t>59 x 22</t>
  </si>
  <si>
    <t>676521e65ff93f7b6d3f91ea</t>
  </si>
  <si>
    <t>50 x 20</t>
  </si>
  <si>
    <t>676521e75ff93f7b6d3f91ec</t>
  </si>
  <si>
    <t>45 x 35</t>
  </si>
  <si>
    <t>676521e75ff93f7b6d3f91ed</t>
  </si>
  <si>
    <t>22,5 x 50</t>
  </si>
  <si>
    <t>676521e75ff93f7b6d3f91ee</t>
  </si>
  <si>
    <t>676521e75ff93f7b6d3f91ef</t>
  </si>
  <si>
    <t>24 x 9,5</t>
  </si>
  <si>
    <t>676521e75ff93f7b6d3f91f0</t>
  </si>
  <si>
    <t>20 x 15</t>
  </si>
  <si>
    <t>676521e75ff93f7b6d3f91f1</t>
  </si>
  <si>
    <t>20 x 18</t>
  </si>
  <si>
    <t>676521e75ff93f7b6d3f91f2</t>
  </si>
  <si>
    <t>676521e75ff93f7b6d3f91f3</t>
  </si>
  <si>
    <t>31 x 22</t>
  </si>
  <si>
    <t>676521e75ff93f7b6d3f91f4</t>
  </si>
  <si>
    <t xml:space="preserve">30 x 30 </t>
  </si>
  <si>
    <t>676521e75ff93f7b6d3f91f5</t>
  </si>
  <si>
    <t>40 x 50</t>
  </si>
  <si>
    <t>676521e75ff93f7b6d3f91f6</t>
  </si>
  <si>
    <t>676521e75ff93f7b6d3f91f7</t>
  </si>
  <si>
    <t>22,5 x 35,5</t>
  </si>
  <si>
    <t>676521e75ff93f7b6d3f91f8</t>
  </si>
  <si>
    <t>28 x 58</t>
  </si>
  <si>
    <t>676521e75ff93f7b6d3f91f9</t>
  </si>
  <si>
    <t>110 x 21,5</t>
  </si>
  <si>
    <t>676521e85ff93f7b6d3f91fa</t>
  </si>
  <si>
    <t>105 x 25</t>
  </si>
  <si>
    <t>676521e85ff93f7b6d3f91fb</t>
  </si>
  <si>
    <t>120 x 25</t>
  </si>
  <si>
    <t>676521e85ff93f7b6d3f91fc</t>
  </si>
  <si>
    <t>24 x 131</t>
  </si>
  <si>
    <t>676521e85ff93f7b6d3f91fd</t>
  </si>
  <si>
    <t>49 x 30</t>
  </si>
  <si>
    <t>676521e85ff93f7b6d3f91fe</t>
  </si>
  <si>
    <t>29 x 79</t>
  </si>
  <si>
    <t>676521e85ff93f7b6d3f91ff</t>
  </si>
  <si>
    <t>80 x 14,5</t>
  </si>
  <si>
    <t>676521e85ff93f7b6d3f9200</t>
  </si>
  <si>
    <t>42 x 38</t>
  </si>
  <si>
    <t>676521e85ff93f7b6d3f9201</t>
  </si>
  <si>
    <t>42 x 19</t>
  </si>
  <si>
    <t>676521e85ff93f7b6d3f9202</t>
  </si>
  <si>
    <t>79 x 19</t>
  </si>
  <si>
    <t>676521e85ff93f7b6d3f9204</t>
  </si>
  <si>
    <t>37 X 33</t>
  </si>
  <si>
    <t>676521e85ff93f7b6d3f9205</t>
  </si>
  <si>
    <t>46,5 X 35</t>
  </si>
  <si>
    <t>676521e85ff93f7b6d3f9206</t>
  </si>
  <si>
    <t>85 X 67</t>
  </si>
  <si>
    <t>676521e95ff93f7b6d3f9209</t>
  </si>
  <si>
    <t>40 x 183</t>
  </si>
  <si>
    <t>676521e95ff93f7b6d3f920a</t>
  </si>
  <si>
    <t>47,5 x 143</t>
  </si>
  <si>
    <t>676521e95ff93f7b6d3f920b</t>
  </si>
  <si>
    <t>33x27,5</t>
  </si>
  <si>
    <t>676521e95ff93f7b6d3f920c</t>
  </si>
  <si>
    <t>143x47,5</t>
  </si>
  <si>
    <t>676521e95ff93f7b6d3f920d</t>
  </si>
  <si>
    <t>41x29,5</t>
  </si>
  <si>
    <t>676521e95ff93f7b6d3f920e</t>
  </si>
  <si>
    <t>30x49</t>
  </si>
  <si>
    <t>676521e95ff93f7b6d3f9211</t>
  </si>
  <si>
    <t>99 x 30</t>
  </si>
  <si>
    <t>676521e95ff93f7b6d3f9212</t>
  </si>
  <si>
    <t>205x41</t>
  </si>
  <si>
    <t>676521e95ff93f7b6d3f9213</t>
  </si>
  <si>
    <t>108x22,5</t>
  </si>
  <si>
    <t>676521ea5ff93f7b6d3f9214</t>
  </si>
  <si>
    <t>72x72</t>
  </si>
  <si>
    <t>676521ea5ff93f7b6d3f9215</t>
  </si>
  <si>
    <t>72X72</t>
  </si>
  <si>
    <t>676521ea5ff93f7b6d3f9217</t>
  </si>
  <si>
    <t>65x41</t>
  </si>
  <si>
    <t>676521ea5ff93f7b6d3f9218</t>
  </si>
  <si>
    <t>86x84</t>
  </si>
  <si>
    <t>68025c1ecac355bcf689c358</t>
  </si>
  <si>
    <t>156,5x33</t>
  </si>
  <si>
    <t>6877b73c848f85a84b73b2af</t>
  </si>
  <si>
    <t>60x50,5</t>
  </si>
  <si>
    <t>6877bc50a414afd6dbb7c988</t>
  </si>
  <si>
    <t>44x20,4</t>
  </si>
  <si>
    <t>6877bc94a414afd6dbb7c989</t>
  </si>
  <si>
    <t>51,5x21</t>
  </si>
  <si>
    <t>6877bce4a414afd6dbb7c98a</t>
  </si>
  <si>
    <t>116 x 31,3</t>
  </si>
  <si>
    <t>6887776b0944aebf8001072a</t>
  </si>
  <si>
    <t>80x19,5</t>
  </si>
  <si>
    <t>689475a9ef2a8fc71fc24874</t>
  </si>
  <si>
    <t>104x15</t>
  </si>
  <si>
    <t>68b1a63eae1047134b5fc6b1</t>
  </si>
  <si>
    <t>169,5 x 34,5</t>
  </si>
  <si>
    <t>68cbbef9aa51cee2bdc66887</t>
  </si>
  <si>
    <t>80 x 60</t>
  </si>
  <si>
    <t>68cbbf10aa51cee2bdc66888</t>
  </si>
  <si>
    <t>120 x 80</t>
  </si>
  <si>
    <t>68cbc07baa51cee2bdc66889</t>
  </si>
  <si>
    <t>122 x 32</t>
  </si>
  <si>
    <t>68cbc0a2aa51cee2bdc6688a</t>
  </si>
  <si>
    <t>58 x 28</t>
  </si>
  <si>
    <t>68cd1eed0b31b7337018e2e4</t>
  </si>
  <si>
    <t>35,4 x 22,3</t>
  </si>
  <si>
    <t>68cd1f1b0b31b7337018e2e5</t>
  </si>
  <si>
    <t>22,4 x 19</t>
  </si>
  <si>
    <t>68fb6fcaef6946862c8b4d54</t>
  </si>
  <si>
    <t>140 x 100</t>
  </si>
  <si>
    <t>676521dc5ff93f7b6d3f9169</t>
  </si>
  <si>
    <t>100,5 X 19,5</t>
  </si>
  <si>
    <t>676521dc5ff93f7b6d3f916a</t>
  </si>
  <si>
    <t>103 X 10</t>
  </si>
  <si>
    <t>676521dc5ff93f7b6d3f916b</t>
  </si>
  <si>
    <t>103 X 27</t>
  </si>
  <si>
    <t>676521dc5ff93f7b6d3f916c</t>
  </si>
  <si>
    <t>115 X 67</t>
  </si>
  <si>
    <t>676521dd5ff93f7b6d3f916d</t>
  </si>
  <si>
    <t>13 X 78</t>
  </si>
  <si>
    <t>676521dd5ff93f7b6d3f916e</t>
  </si>
  <si>
    <t>13 X 90</t>
  </si>
  <si>
    <t>676521dd5ff93f7b6d3f916f</t>
  </si>
  <si>
    <t>140 X 19</t>
  </si>
  <si>
    <t>676521dd5ff93f7b6d3f9171</t>
  </si>
  <si>
    <t>16 X 63</t>
  </si>
  <si>
    <t>676521dd5ff93f7b6d3f9172</t>
  </si>
  <si>
    <t>20 X 10</t>
  </si>
  <si>
    <t>676521dd5ff93f7b6d3f9173</t>
  </si>
  <si>
    <t>21 X 15</t>
  </si>
  <si>
    <t>676521dd5ff93f7b6d3f9174</t>
  </si>
  <si>
    <t>22 X 31</t>
  </si>
  <si>
    <t>676521dd5ff93f7b6d3f9175</t>
  </si>
  <si>
    <t>23,5 X 50</t>
  </si>
  <si>
    <t>676521dd5ff93f7b6d3f9176</t>
  </si>
  <si>
    <t>245 X 18</t>
  </si>
  <si>
    <t>676521dd5ff93f7b6d3f9178</t>
  </si>
  <si>
    <t>25 X 64</t>
  </si>
  <si>
    <t>676521dd5ff93f7b6d3f9179</t>
  </si>
  <si>
    <t>25 X 78</t>
  </si>
  <si>
    <t>676521dd5ff93f7b6d3f917a</t>
  </si>
  <si>
    <t>26 X 90</t>
  </si>
  <si>
    <t>676521de5ff93f7b6d3f917b</t>
  </si>
  <si>
    <t>27 X 43</t>
  </si>
  <si>
    <t>676521de5ff93f7b6d3f917d</t>
  </si>
  <si>
    <t>28 X 33</t>
  </si>
  <si>
    <t>676521de5ff93f7b6d3f917e</t>
  </si>
  <si>
    <t>29,5 X 19</t>
  </si>
  <si>
    <t>676521de5ff93f7b6d3f917f</t>
  </si>
  <si>
    <t>29 X 34</t>
  </si>
  <si>
    <t>676521de5ff93f7b6d3f9180</t>
  </si>
  <si>
    <t>30 X 27,5</t>
  </si>
  <si>
    <t>676521de5ff93f7b6d3f9181</t>
  </si>
  <si>
    <t>32 X 44</t>
  </si>
  <si>
    <t>676521de5ff93f7b6d3f9182</t>
  </si>
  <si>
    <t>36 X 32</t>
  </si>
  <si>
    <t>676521de5ff93f7b6d3f9183</t>
  </si>
  <si>
    <t>375 X 30</t>
  </si>
  <si>
    <t>676521de5ff93f7b6d3f9184</t>
  </si>
  <si>
    <t>39 X 15,5</t>
  </si>
  <si>
    <t>676521de5ff93f7b6d3f9185</t>
  </si>
  <si>
    <t>40 X 18</t>
  </si>
  <si>
    <t>676521de5ff93f7b6d3f9186</t>
  </si>
  <si>
    <t>40 X 40</t>
  </si>
  <si>
    <t>676521de5ff93f7b6d3f9187</t>
  </si>
  <si>
    <t>47 X 46</t>
  </si>
  <si>
    <t>676521df5ff93f7b6d3f9188</t>
  </si>
  <si>
    <t>49 X 29</t>
  </si>
  <si>
    <t>676521df5ff93f7b6d3f918a</t>
  </si>
  <si>
    <t>49 X 48</t>
  </si>
  <si>
    <t>676521df5ff93f7b6d3f918b</t>
  </si>
  <si>
    <t>50 X 50</t>
  </si>
  <si>
    <t>676521df5ff93f7b6d3f918c</t>
  </si>
  <si>
    <t>50 X 10</t>
  </si>
  <si>
    <t>676521df5ff93f7b6d3f918d</t>
  </si>
  <si>
    <t>50 X 14</t>
  </si>
  <si>
    <t>676521df5ff93f7b6d3f918e</t>
  </si>
  <si>
    <t>52 x 46</t>
  </si>
  <si>
    <t>676521df5ff93f7b6d3f918f</t>
  </si>
  <si>
    <t>55 x 40</t>
  </si>
  <si>
    <t>676521df5ff93f7b6d3f9190</t>
  </si>
  <si>
    <t>62 x 16</t>
  </si>
  <si>
    <t>676521df5ff93f7b6d3f9191</t>
  </si>
  <si>
    <t>62 x 30</t>
  </si>
  <si>
    <t>676521df5ff93f7b6d3f9192</t>
  </si>
  <si>
    <t>66 x 19</t>
  </si>
  <si>
    <t>676521df5ff93f7b6d3f9193</t>
  </si>
  <si>
    <t>70 x 20</t>
  </si>
  <si>
    <t>676521df5ff93f7b6d3f9194</t>
  </si>
  <si>
    <t>71 x 22</t>
  </si>
  <si>
    <t>676521df5ff93f7b6d3f9195</t>
  </si>
  <si>
    <t>74 x 16</t>
  </si>
  <si>
    <t>676521e05ff93f7b6d3f9196</t>
  </si>
  <si>
    <t>75 x 28,5</t>
  </si>
  <si>
    <t>676521e05ff93f7b6d3f9197</t>
  </si>
  <si>
    <t>82 x 20</t>
  </si>
  <si>
    <t>676521e05ff93f7b6d3f9199</t>
  </si>
  <si>
    <t>88 x 37</t>
  </si>
  <si>
    <t>676521e05ff93f7b6d3f919a</t>
  </si>
  <si>
    <t>94 x 23</t>
  </si>
  <si>
    <t>676521e05ff93f7b6d3f919b</t>
  </si>
  <si>
    <t>A4</t>
  </si>
  <si>
    <t>676521e05ff93f7b6d3f919c</t>
  </si>
  <si>
    <t>A5</t>
  </si>
  <si>
    <t>676521e05ff93f7b6d3f919d</t>
  </si>
  <si>
    <t>A6</t>
  </si>
  <si>
    <t>676521e05ff93f7b6d3f919e</t>
  </si>
  <si>
    <t>47 x 32</t>
  </si>
  <si>
    <t>676521e05ff93f7b6d3f919f</t>
  </si>
  <si>
    <t>67,5 x 15</t>
  </si>
  <si>
    <t>676521e05ff93f7b6d3f91a0</t>
  </si>
  <si>
    <t>99 x 24</t>
  </si>
  <si>
    <t>676521e05ff93f7b6d3f91a1</t>
  </si>
  <si>
    <t>80 x 38</t>
  </si>
  <si>
    <t>676521e05ff93f7b6d3f91a2</t>
  </si>
  <si>
    <t>120 x 72,5</t>
  </si>
  <si>
    <t>676521e15ff93f7b6d3f91a3</t>
  </si>
  <si>
    <t>120 x 17,5</t>
  </si>
  <si>
    <t>676521e15ff93f7b6d3f91a4</t>
  </si>
  <si>
    <t>100 x 12</t>
  </si>
  <si>
    <t>676521e15ff93f7b6d3f91a6</t>
  </si>
  <si>
    <t>77 x 31</t>
  </si>
  <si>
    <t>676521e15ff93f7b6d3f91a8</t>
  </si>
  <si>
    <t>240 X 25,5</t>
  </si>
  <si>
    <t>676521e15ff93f7b6d3f91aa</t>
  </si>
  <si>
    <t>135X55</t>
  </si>
  <si>
    <t>676521e15ff93f7b6d3f91ab</t>
  </si>
  <si>
    <t>145x25</t>
  </si>
  <si>
    <t>676521e15ff93f7b6d3f91ac</t>
  </si>
  <si>
    <t>40x30</t>
  </si>
  <si>
    <t>676521e15ff93f7b6d3f91ad</t>
  </si>
  <si>
    <t>40x32</t>
  </si>
  <si>
    <t>676521e15ff93f7b6d3f91ae</t>
  </si>
  <si>
    <t>40x34</t>
  </si>
  <si>
    <t>6780cdcbc236632b82276853</t>
  </si>
  <si>
    <t>197x42,5</t>
  </si>
  <si>
    <t>67a0d783fce57378f3d031e5</t>
  </si>
  <si>
    <t>205 x 162,5</t>
  </si>
  <si>
    <t>68025be4cac355bcf689c356</t>
  </si>
  <si>
    <t>25x18</t>
  </si>
  <si>
    <t>68025c03cac355bcf689c357</t>
  </si>
  <si>
    <t>150x35,5</t>
  </si>
  <si>
    <t>6878eef989cba9c4ba692ace</t>
  </si>
  <si>
    <t>235 x 47</t>
  </si>
  <si>
    <t>6878ef2d89cba9c4ba692acf</t>
  </si>
  <si>
    <t>258,5 x 36,5</t>
  </si>
  <si>
    <t>68bad93386954bbeeed8b0a5</t>
  </si>
  <si>
    <t>90 x 26</t>
  </si>
  <si>
    <t>68bad95a86954bbeeed8b0a6</t>
  </si>
  <si>
    <t>64 x 26,5</t>
  </si>
  <si>
    <t>68c3caa12ae243776f752aa2</t>
  </si>
  <si>
    <t>60 x 14,9</t>
  </si>
  <si>
    <t>68fb700cef6946862c8b4d55</t>
  </si>
  <si>
    <t>210 x 62,5</t>
  </si>
  <si>
    <t>68fb80b60ff4160ed66b4da2</t>
  </si>
  <si>
    <t>128,5 x 59,5</t>
  </si>
  <si>
    <t>676521ea5ff93f7b6d3f921d</t>
  </si>
  <si>
    <t>41 x 30</t>
  </si>
  <si>
    <t>676521ea5ff93f7b6d3f921e</t>
  </si>
  <si>
    <t>28 x 20</t>
  </si>
  <si>
    <t>676521ea5ff93f7b6d3f921f</t>
  </si>
  <si>
    <t>20 x 29</t>
  </si>
  <si>
    <t>676521ea5ff93f7b6d3f9220</t>
  </si>
  <si>
    <t>24,5 x 28</t>
  </si>
  <si>
    <t>676521eb5ff93f7b6d3f9221</t>
  </si>
  <si>
    <t>25,5 x 28,5</t>
  </si>
  <si>
    <t>676521eb5ff93f7b6d3f9222</t>
  </si>
  <si>
    <t>60 x 24</t>
  </si>
  <si>
    <t>676521eb5ff93f7b6d3f9223</t>
  </si>
  <si>
    <t>20 x 52</t>
  </si>
  <si>
    <t>676521eb5ff93f7b6d3f9224</t>
  </si>
  <si>
    <t>40 x 30</t>
  </si>
  <si>
    <t>676521eb5ff93f7b6d3f9225</t>
  </si>
  <si>
    <t>28 x 25</t>
  </si>
  <si>
    <t>676521eb5ff93f7b6d3f9226</t>
  </si>
  <si>
    <t>22 x 15</t>
  </si>
  <si>
    <t>676521eb5ff93f7b6d3f9227</t>
  </si>
  <si>
    <t>20 x 19</t>
  </si>
  <si>
    <t>676521eb5ff93f7b6d3f9228</t>
  </si>
  <si>
    <t>23 x 20</t>
  </si>
  <si>
    <t>676521eb5ff93f7b6d3f9229</t>
  </si>
  <si>
    <t>21x 24</t>
  </si>
  <si>
    <t>676521eb5ff93f7b6d3f922a</t>
  </si>
  <si>
    <t>19 x 25</t>
  </si>
  <si>
    <t>676521eb5ff93f7b6d3f922b</t>
  </si>
  <si>
    <t>21 x 25</t>
  </si>
  <si>
    <t>676521eb5ff93f7b6d3f922c</t>
  </si>
  <si>
    <t>22 x 22</t>
  </si>
  <si>
    <t>676521eb5ff93f7b6d3f922d</t>
  </si>
  <si>
    <t>14,5 x 49,5</t>
  </si>
  <si>
    <t>676521eb5ff93f7b6d3f922e</t>
  </si>
  <si>
    <t>25 x 25</t>
  </si>
  <si>
    <t>676521ec5ff93f7b6d3f922f</t>
  </si>
  <si>
    <t>31 x 29</t>
  </si>
  <si>
    <t>676521ec5ff93f7b6d3f9230</t>
  </si>
  <si>
    <t>19,7 x 30</t>
  </si>
  <si>
    <t>676521ec5ff93f7b6d3f9231</t>
  </si>
  <si>
    <t>19,7 x 29,1</t>
  </si>
  <si>
    <t>676521ec5ff93f7b6d3f9232</t>
  </si>
  <si>
    <t>20 x 22</t>
  </si>
  <si>
    <t>676521ec5ff93f7b6d3f9233</t>
  </si>
  <si>
    <t>29,6 x 29,9</t>
  </si>
  <si>
    <t>676521ec5ff93f7b6d3f9234</t>
  </si>
  <si>
    <t>29,9 x 29,9</t>
  </si>
  <si>
    <t>676521ec5ff93f7b6d3f9235</t>
  </si>
  <si>
    <t>14,5 x 19,5</t>
  </si>
  <si>
    <t>676521ec5ff93f7b6d3f9236</t>
  </si>
  <si>
    <t>20 x 14</t>
  </si>
  <si>
    <t>676521ec5ff93f7b6d3f9237</t>
  </si>
  <si>
    <t>28 x 13</t>
  </si>
  <si>
    <t>676521ec5ff93f7b6d3f9238</t>
  </si>
  <si>
    <t>14,5 x 27,5</t>
  </si>
  <si>
    <t>676521ec5ff93f7b6d3f9239</t>
  </si>
  <si>
    <t>8,5 X 5</t>
  </si>
  <si>
    <t>676521ec5ff93f7b6d3f923a</t>
  </si>
  <si>
    <t>10,5 X 4,7</t>
  </si>
  <si>
    <t>676521ec5ff93f7b6d3f923b</t>
  </si>
  <si>
    <t>10,5 X 7,5</t>
  </si>
  <si>
    <t>676521ec5ff93f7b6d3f923c</t>
  </si>
  <si>
    <t>14,8 X 10,5</t>
  </si>
  <si>
    <t>676521ed5ff93f7b6d3f923d</t>
  </si>
  <si>
    <t>676521ed5ff93f7b6d3f923e</t>
  </si>
  <si>
    <t>10 X 76</t>
  </si>
  <si>
    <t>676521ed5ff93f7b6d3f923f</t>
  </si>
  <si>
    <t>30 X 12</t>
  </si>
  <si>
    <t>676521ed5ff93f7b6d3f9240</t>
  </si>
  <si>
    <t>48 X 10</t>
  </si>
  <si>
    <t>676521ed5ff93f7b6d3f9241</t>
  </si>
  <si>
    <t>10 X 50</t>
  </si>
  <si>
    <t>676521ed5ff93f7b6d3f9242</t>
  </si>
  <si>
    <t>10 x 67</t>
  </si>
  <si>
    <t>676521ed5ff93f7b6d3f9243</t>
  </si>
  <si>
    <t>70 x 12</t>
  </si>
  <si>
    <t>676521ed5ff93f7b6d3f9244</t>
  </si>
  <si>
    <t>74 x 13</t>
  </si>
  <si>
    <t>676521ed5ff93f7b6d3f9245</t>
  </si>
  <si>
    <t>22,5 x 100</t>
  </si>
  <si>
    <t>676521ee5ff93f7b6d3f9246</t>
  </si>
  <si>
    <t>51 x 18</t>
  </si>
  <si>
    <t>676521ee5ff93f7b6d3f9247</t>
  </si>
  <si>
    <t>10,5 x 67,5</t>
  </si>
  <si>
    <t>676521ee5ff93f7b6d3f9248</t>
  </si>
  <si>
    <t>34 x 12</t>
  </si>
  <si>
    <t>676521ee5ff93f7b6d3f9249</t>
  </si>
  <si>
    <t>9,5 x 35</t>
  </si>
  <si>
    <t>676521ee5ff93f7b6d3f924a</t>
  </si>
  <si>
    <t>10 x 34,5</t>
  </si>
  <si>
    <t>676521ee5ff93f7b6d3f924b</t>
  </si>
  <si>
    <t>10 x 35</t>
  </si>
  <si>
    <t>676521ee5ff93f7b6d3f924c</t>
  </si>
  <si>
    <t>205 x 14</t>
  </si>
  <si>
    <t>676521ef5ff93f7b6d3f924d</t>
  </si>
  <si>
    <t>205 x 16</t>
  </si>
  <si>
    <t>676521ef5ff93f7b6d3f924e</t>
  </si>
  <si>
    <t>205 x 29,5</t>
  </si>
  <si>
    <t>676521ef5ff93f7b6d3f924f</t>
  </si>
  <si>
    <t>11 x 218</t>
  </si>
  <si>
    <t>676521ef5ff93f7b6d3f9250</t>
  </si>
  <si>
    <t>300 x 28</t>
  </si>
  <si>
    <t>676521ef5ff93f7b6d3f9251</t>
  </si>
  <si>
    <t>110 x 36</t>
  </si>
  <si>
    <t>676521ef5ff93f7b6d3f9252</t>
  </si>
  <si>
    <t>34 x 180</t>
  </si>
  <si>
    <t>676521ef5ff93f7b6d3f9253</t>
  </si>
  <si>
    <t>257 x 17,5</t>
  </si>
  <si>
    <t>676521ef5ff93f7b6d3f9254</t>
  </si>
  <si>
    <t>293 x 15</t>
  </si>
  <si>
    <t>676521ef5ff93f7b6d3f9255</t>
  </si>
  <si>
    <t>295 x 18</t>
  </si>
  <si>
    <t>676521ef5ff93f7b6d3f9256</t>
  </si>
  <si>
    <t>27 x 34,9</t>
  </si>
  <si>
    <t>676521f05ff93f7b6d3f9257</t>
  </si>
  <si>
    <t>27 x 29,9</t>
  </si>
  <si>
    <t>676521f05ff93f7b6d3f9258</t>
  </si>
  <si>
    <t>31 x 25</t>
  </si>
  <si>
    <t>676521f05ff93f7b6d3f9259</t>
  </si>
  <si>
    <t>28,5 x 273</t>
  </si>
  <si>
    <t>676521f05ff93f7b6d3f925a</t>
  </si>
  <si>
    <t>676521f05ff93f7b6d3f925b</t>
  </si>
  <si>
    <t>32 x 13,5</t>
  </si>
  <si>
    <t>676521f05ff93f7b6d3f925c</t>
  </si>
  <si>
    <t>21,8 x 30,1</t>
  </si>
  <si>
    <t>676521f05ff93f7b6d3f925d</t>
  </si>
  <si>
    <t>21 x 29,6</t>
  </si>
  <si>
    <t>676521f05ff93f7b6d3f925f</t>
  </si>
  <si>
    <t>100 x 19,5</t>
  </si>
  <si>
    <t>676521f05ff93f7b6d3f9260</t>
  </si>
  <si>
    <t>54,5 x 40</t>
  </si>
  <si>
    <t>676521f05ff93f7b6d3f9261</t>
  </si>
  <si>
    <t>125 x 100</t>
  </si>
  <si>
    <t>676521f15ff93f7b6d3f9262</t>
  </si>
  <si>
    <t>37 x 45</t>
  </si>
  <si>
    <t>676521f15ff93f7b6d3f9263</t>
  </si>
  <si>
    <t>12,5 x 250</t>
  </si>
  <si>
    <t>676521f15ff93f7b6d3f9266</t>
  </si>
  <si>
    <t>60 x 19,5</t>
  </si>
  <si>
    <t>676521f15ff93f7b6d3f9267</t>
  </si>
  <si>
    <t>92 x 40</t>
  </si>
  <si>
    <t>676521f15ff93f7b6d3f9268</t>
  </si>
  <si>
    <t>59,5 x 57,5</t>
  </si>
  <si>
    <t>676521f15ff93f7b6d3f9269</t>
  </si>
  <si>
    <t>45x37</t>
  </si>
  <si>
    <t>676521f15ff93f7b6d3f926a</t>
  </si>
  <si>
    <t>58,5 x 23,5</t>
  </si>
  <si>
    <t>676521f15ff93f7b6d3f926b</t>
  </si>
  <si>
    <t>15 x 10</t>
  </si>
  <si>
    <t>676521f25ff93f7b6d3f926c</t>
  </si>
  <si>
    <t>120X43</t>
  </si>
  <si>
    <t>676521f25ff93f7b6d3f926d</t>
  </si>
  <si>
    <t>45X15</t>
  </si>
  <si>
    <t>676521f25ff93f7b6d3f926e</t>
  </si>
  <si>
    <t>45X20</t>
  </si>
  <si>
    <t>676521f25ff93f7b6d3f926f</t>
  </si>
  <si>
    <t>200x52,5</t>
  </si>
  <si>
    <t>676521f25ff93f7b6d3f9270</t>
  </si>
  <si>
    <t>300x22,5</t>
  </si>
  <si>
    <t>676521f25ff93f7b6d3f9271</t>
  </si>
  <si>
    <t>100X35,5</t>
  </si>
  <si>
    <t>676521f25ff93f7b6d3f9273</t>
  </si>
  <si>
    <t>162x35,5</t>
  </si>
  <si>
    <t>676521f25ff93f7b6d3f9274</t>
  </si>
  <si>
    <t>405x18</t>
  </si>
  <si>
    <t>676521f35ff93f7b6d3f9276</t>
  </si>
  <si>
    <t>29x21</t>
  </si>
  <si>
    <t>677d504d4b75be395ab31728</t>
  </si>
  <si>
    <t>44x51</t>
  </si>
  <si>
    <t>677d506b4b75be395ab31729</t>
  </si>
  <si>
    <t>44x53,5</t>
  </si>
  <si>
    <t>677d508776407687ab1e9760</t>
  </si>
  <si>
    <t>244x31</t>
  </si>
  <si>
    <t>678135632e2cbf8223441caf</t>
  </si>
  <si>
    <t>57X20</t>
  </si>
  <si>
    <t>678135792e2cbf8223441cb0</t>
  </si>
  <si>
    <t>15X10</t>
  </si>
  <si>
    <t>678135932e2cbf8223441cb1</t>
  </si>
  <si>
    <t>150X32</t>
  </si>
  <si>
    <t>679a4af9c3ca6900dbed1a82</t>
  </si>
  <si>
    <t>50x47,5</t>
  </si>
  <si>
    <t>679a4b62c3ca6900dbed1a83</t>
  </si>
  <si>
    <t>160x32,5</t>
  </si>
  <si>
    <t>679a4b86c3ca6900dbed1a84</t>
  </si>
  <si>
    <t>150x31,5</t>
  </si>
  <si>
    <t>67c07ca6912df475d9349e1f</t>
  </si>
  <si>
    <t>158x69</t>
  </si>
  <si>
    <t>67c5c135591fcb41f3c8aced</t>
  </si>
  <si>
    <t>104x150</t>
  </si>
  <si>
    <t>67c5c191591fcb41f3c8acf0</t>
  </si>
  <si>
    <t>100x20</t>
  </si>
  <si>
    <t>67c5c1b6591fcb41f3c8acf1</t>
  </si>
  <si>
    <t>100x14,5</t>
  </si>
  <si>
    <t>67c5c1e0591fcb41f3c8acf3</t>
  </si>
  <si>
    <t>125x47,5</t>
  </si>
  <si>
    <t>67d910cea6b6a1ef37fb77f6</t>
  </si>
  <si>
    <t>42x35,5</t>
  </si>
  <si>
    <t>67d91161a6b6a1ef37fb77f7</t>
  </si>
  <si>
    <t>54x41,5</t>
  </si>
  <si>
    <t>68025b5208e723064ad4efd2</t>
  </si>
  <si>
    <t>210x17,5</t>
  </si>
  <si>
    <t>68025b53cac355bcf689c353</t>
  </si>
  <si>
    <t>80x37,5</t>
  </si>
  <si>
    <t>68025bb2cac355bcf689c354</t>
  </si>
  <si>
    <t>40x25,5</t>
  </si>
  <si>
    <t>682ddce9701989355430fd4b</t>
  </si>
  <si>
    <t>243X21</t>
  </si>
  <si>
    <t>682ddd0a701989355430fd4c</t>
  </si>
  <si>
    <t>95X40</t>
  </si>
  <si>
    <t>682ddd24701989355430fd4d</t>
  </si>
  <si>
    <t>31,1x57,5</t>
  </si>
  <si>
    <t>682ddd40701989355430fd4e</t>
  </si>
  <si>
    <t>100x63</t>
  </si>
  <si>
    <t>68429fb78991388a2fa6cbd1</t>
  </si>
  <si>
    <t>71x27,5</t>
  </si>
  <si>
    <t>684c1dc231b7795292daf1e0</t>
  </si>
  <si>
    <t>20x17,5</t>
  </si>
  <si>
    <t>684c1ddd31b7795292daf1e1</t>
  </si>
  <si>
    <t>42x29,7</t>
  </si>
  <si>
    <t>684c1dfb31b7795292daf1e2</t>
  </si>
  <si>
    <t>40x16,5</t>
  </si>
  <si>
    <t>684c1e2131b7795292daf1e3</t>
  </si>
  <si>
    <t>100x29</t>
  </si>
  <si>
    <t>684c1e3631b7795292daf1e4</t>
  </si>
  <si>
    <t>100x31,5</t>
  </si>
  <si>
    <t>6852c4c6a5e5f18f8d705c06</t>
  </si>
  <si>
    <t>50X50</t>
  </si>
  <si>
    <t>685560486e642ee74f040742</t>
  </si>
  <si>
    <t>30x17</t>
  </si>
  <si>
    <t>685560b46e642ee74f040743</t>
  </si>
  <si>
    <t>30x20</t>
  </si>
  <si>
    <t>685560cc6e642ee74f040744</t>
  </si>
  <si>
    <t>29x21,5</t>
  </si>
  <si>
    <t>685d5ed146dfdea32dd73ac8</t>
  </si>
  <si>
    <t>60,5x15</t>
  </si>
  <si>
    <t>6876608ea79629a80fa11224</t>
  </si>
  <si>
    <t>15,5x255</t>
  </si>
  <si>
    <t>687660cea79629a80fa11225</t>
  </si>
  <si>
    <t>42,5 x 190</t>
  </si>
  <si>
    <t>6877b5a9848f85a84b73b2ac</t>
  </si>
  <si>
    <t>105x16,5</t>
  </si>
  <si>
    <t>6877b5e9848f85a84b73b2ad</t>
  </si>
  <si>
    <t>105x36</t>
  </si>
  <si>
    <t>6877b633848f85a84b73b2ae</t>
  </si>
  <si>
    <t>150x33</t>
  </si>
  <si>
    <t>6878ef7489cba9c4ba692ad0</t>
  </si>
  <si>
    <t>153,5 x 19</t>
  </si>
  <si>
    <t>6878ef9c89cba9c4ba692ad1</t>
  </si>
  <si>
    <t>69,5 x 51</t>
  </si>
  <si>
    <t>6878efc989cba9c4ba692ad2</t>
  </si>
  <si>
    <t>46 x 42,5</t>
  </si>
  <si>
    <t>687a1d7423196bc92a0ea613</t>
  </si>
  <si>
    <t>83,5X53</t>
  </si>
  <si>
    <t>687a1d9523196bc92a0ea614</t>
  </si>
  <si>
    <t>105x48</t>
  </si>
  <si>
    <t>687a1dbb23196bc92a0ea615</t>
  </si>
  <si>
    <t>50,5X35</t>
  </si>
  <si>
    <t>687a1dd523196bc92a0ea616</t>
  </si>
  <si>
    <t>65,5X32,5</t>
  </si>
  <si>
    <t>687a1df023196bc92a0ea617</t>
  </si>
  <si>
    <t>66x40</t>
  </si>
  <si>
    <t>687a1e1723196bc92a0ea618</t>
  </si>
  <si>
    <t>83,5x46</t>
  </si>
  <si>
    <t>688b11cf147363f6116450e7</t>
  </si>
  <si>
    <t>75 X 33</t>
  </si>
  <si>
    <t>688b11f1147363f6116450e8</t>
  </si>
  <si>
    <t>150 X 142</t>
  </si>
  <si>
    <t>688b235790e5a1baee1c6758</t>
  </si>
  <si>
    <t>55,5 X 36</t>
  </si>
  <si>
    <t>688b237e90e5a1baee1c6759</t>
  </si>
  <si>
    <t>55,5 x 31,5</t>
  </si>
  <si>
    <t>68a315afe716a0bd3b74e631</t>
  </si>
  <si>
    <t>69,5 x 15,5</t>
  </si>
  <si>
    <t>68b1aadb94090c4090125b4a</t>
  </si>
  <si>
    <t>47,5 x 26</t>
  </si>
  <si>
    <t>68cbc0d3aa51cee2bdc6688b</t>
  </si>
  <si>
    <t>298,8 x 37,7</t>
  </si>
  <si>
    <t>68d1329e32d9e52f90dd73d1</t>
  </si>
  <si>
    <t>45 x 86</t>
  </si>
  <si>
    <t>68d132c632d9e52f90dd73d2</t>
  </si>
  <si>
    <t>50,5 x 77,5</t>
  </si>
  <si>
    <t>68d132f132d9e52f90dd73d3</t>
  </si>
  <si>
    <t>69,5 x 50</t>
  </si>
  <si>
    <t>68d1332132d9e52f90dd73d4</t>
  </si>
  <si>
    <t>79,5 x 63,5</t>
  </si>
  <si>
    <t>68d1334232d9e52f90dd73d5</t>
  </si>
  <si>
    <t>85,5 x 62,5</t>
  </si>
  <si>
    <t>68d1336732d9e52f90dd73d6</t>
  </si>
  <si>
    <t>124,8 x 36,8</t>
  </si>
  <si>
    <t>68d24b43f8720dab96960a7e</t>
  </si>
  <si>
    <t>73 x 62</t>
  </si>
  <si>
    <t>68fb6f1cef6946862c8b4d50</t>
  </si>
  <si>
    <t>150 x 39,5</t>
  </si>
  <si>
    <t>68fb6f47ef6946862c8b4d51</t>
  </si>
  <si>
    <t>89,5 x 24,5</t>
  </si>
  <si>
    <t>68fb6f72ef6946862c8b4d52</t>
  </si>
  <si>
    <t>350 x 150</t>
  </si>
  <si>
    <t>68fb6f97ef6946862c8b4d53</t>
  </si>
  <si>
    <t>100 x 37,5</t>
  </si>
  <si>
    <t>676521e45ff93f7b6d3f91d3</t>
  </si>
  <si>
    <t>60 X 200</t>
  </si>
  <si>
    <t>676521e45ff93f7b6d3f91d4</t>
  </si>
  <si>
    <t>200 X 30,5</t>
  </si>
  <si>
    <t>676521e45ff93f7b6d3f91d5</t>
  </si>
  <si>
    <t>65 X 45</t>
  </si>
  <si>
    <t>676521e55ff93f7b6d3f91d6</t>
  </si>
  <si>
    <t>125 X 45</t>
  </si>
  <si>
    <t>676521e55ff93f7b6d3f91d7</t>
  </si>
  <si>
    <t>100 x 250</t>
  </si>
  <si>
    <t>676521e55ff93f7b6d3f91d8</t>
  </si>
  <si>
    <t xml:space="preserve">70 x 50 </t>
  </si>
  <si>
    <t>67d9119da6b6a1ef37fb77f9</t>
  </si>
  <si>
    <t>160x70</t>
  </si>
  <si>
    <t>67d911b2a6b6a1ef37fb77fa</t>
  </si>
  <si>
    <t>70x50</t>
  </si>
  <si>
    <t>68a4691c8c25aa187ca2b01b</t>
  </si>
  <si>
    <t>70 x 52,4</t>
  </si>
  <si>
    <t>68dba9debb15253d78adb249</t>
  </si>
  <si>
    <t>50 x 40</t>
  </si>
  <si>
    <t>68e8c847c899505111675709</t>
  </si>
  <si>
    <t>50 x 22</t>
  </si>
  <si>
    <t>676521f35ff93f7b6d3f927a</t>
  </si>
  <si>
    <t>150x87</t>
  </si>
  <si>
    <t>676521f35ff93f7b6d3f927b</t>
  </si>
  <si>
    <t>215x35</t>
  </si>
  <si>
    <t>676521f35ff93f7b6d3f927c</t>
  </si>
  <si>
    <t>175 x 35</t>
  </si>
  <si>
    <t>676521e55ff93f7b6d3f91de</t>
  </si>
  <si>
    <t>30 x 30</t>
  </si>
  <si>
    <t>676521e55ff93f7b6d3f91df</t>
  </si>
  <si>
    <t>30 x 25</t>
  </si>
  <si>
    <t>676521e65ff93f7b6d3f91e0</t>
  </si>
  <si>
    <t>A3</t>
  </si>
  <si>
    <t>676521e65ff93f7b6d3f91e1</t>
  </si>
  <si>
    <t>30 x 10</t>
  </si>
  <si>
    <t>676521e65ff93f7b6d3f91e2</t>
  </si>
  <si>
    <t>70 x 50</t>
  </si>
  <si>
    <t>6841afabcbb82631b1709a2f</t>
  </si>
  <si>
    <t>205x63</t>
  </si>
  <si>
    <t>6765228a85d21deb735a1f8f</t>
  </si>
  <si>
    <t xml:space="preserve">85cm </t>
  </si>
  <si>
    <t>Breed</t>
  </si>
  <si>
    <t>6765228585d21deb735a1f52</t>
  </si>
  <si>
    <t>rol_per_meter</t>
  </si>
  <si>
    <t>AVERY 700 GLOSS WHITE</t>
  </si>
  <si>
    <t>M</t>
  </si>
  <si>
    <t>6765228585d21deb735a1f53</t>
  </si>
  <si>
    <t>AVERY 709 OCEAN BLUE</t>
  </si>
  <si>
    <t>6765228585d21deb735a1f54</t>
  </si>
  <si>
    <t>AVERY 711 FORREST GREEN</t>
  </si>
  <si>
    <t>6765228585d21deb735a1f56</t>
  </si>
  <si>
    <t>AVERY 701 GLOSS BLACK</t>
  </si>
  <si>
    <t>6765228685d21deb735a1f57</t>
  </si>
  <si>
    <t>AVERY 726 MEDIUM RED</t>
  </si>
  <si>
    <t>6765228685d21deb735a1f5e</t>
  </si>
  <si>
    <t>AVERY 770 RED</t>
  </si>
  <si>
    <t>6765228685d21deb735a1f5f</t>
  </si>
  <si>
    <t>AVERY 783 SCANDINAVIAN BLUE</t>
  </si>
  <si>
    <t>6765228685d21deb735a1f61</t>
  </si>
  <si>
    <t>AVERY 941 COSMOS BLUE</t>
  </si>
  <si>
    <t>6765228785d21deb735a1f6a</t>
  </si>
  <si>
    <t>AVERY 708 COSMOS BLUE</t>
  </si>
  <si>
    <t>687fa0dbe96a679fee6eb554</t>
  </si>
  <si>
    <t>m</t>
  </si>
  <si>
    <t>687fa1fee96a679fee6eb555</t>
  </si>
  <si>
    <t>AVERY 733 BLUE</t>
  </si>
  <si>
    <t>687fa21ae96a679fee6eb556</t>
  </si>
  <si>
    <t>687fa246e96a679fee6eb557</t>
  </si>
  <si>
    <t>687fa270e96a679fee6eb558</t>
  </si>
  <si>
    <t>687fa2b3e96a679fee6eb559</t>
  </si>
  <si>
    <t>687fa353e96a679fee6eb55a</t>
  </si>
  <si>
    <t>AVERY 910-01 ORANGE</t>
  </si>
  <si>
    <t>687fa50be96a679fee6eb55b</t>
  </si>
  <si>
    <t>AVERY 842 TEAL</t>
  </si>
  <si>
    <t>687fa527e96a679fee6eb55c</t>
  </si>
  <si>
    <t>687fa545e96a679fee6eb55d</t>
  </si>
  <si>
    <t>687fa5ace96a679fee6eb55e</t>
  </si>
  <si>
    <t>AVERY 759 DARK GREY</t>
  </si>
  <si>
    <t>687fa5c0e96a679fee6eb55f</t>
  </si>
  <si>
    <t>687fa640e96a679fee6eb560</t>
  </si>
  <si>
    <t>AVERY 707 PRIMEROSE YELLOW</t>
  </si>
  <si>
    <t>687fa6ade96a679fee6eb561</t>
  </si>
  <si>
    <t>AVERY 735-01 SILVER METALLIC</t>
  </si>
  <si>
    <t>688091adb3031d56aff6ef9f</t>
  </si>
  <si>
    <t>AVERY 730 MATT WHITE</t>
  </si>
  <si>
    <t>688091e5b3031d56aff6efa0</t>
  </si>
  <si>
    <t>AVERY 721 matt BLACK</t>
  </si>
  <si>
    <t>68809213b3031d56aff6efa1</t>
  </si>
  <si>
    <t>6765228885d21deb735a1f7b</t>
  </si>
  <si>
    <t>Coverstyl NH10 Terrazo</t>
  </si>
  <si>
    <t>6765228885d21deb735a1f7c</t>
  </si>
  <si>
    <t>Coverstyl NE81 Black</t>
  </si>
  <si>
    <t>6765228885d21deb735a1f7d</t>
  </si>
  <si>
    <t>Coverstyl U50 marble stone</t>
  </si>
  <si>
    <t>6765228885d21deb735a1f7e</t>
  </si>
  <si>
    <t>6765228985d21deb735a1f7f</t>
  </si>
  <si>
    <t>Coverstyl NH33 concrete pure</t>
  </si>
  <si>
    <t>6765228a85d21deb735a1f90</t>
  </si>
  <si>
    <t>Gele Flock</t>
  </si>
  <si>
    <t>6765228a85d21deb735a1f91</t>
  </si>
  <si>
    <t>Oranje</t>
  </si>
  <si>
    <t>6765228a85d21deb735a1f92</t>
  </si>
  <si>
    <t>Roze</t>
  </si>
  <si>
    <t>6765228a85d21deb735a1f93</t>
  </si>
  <si>
    <t>Groen</t>
  </si>
  <si>
    <t>6765228a85d21deb735a1f94</t>
  </si>
  <si>
    <t>Goud</t>
  </si>
  <si>
    <t>6765228a85d21deb735a1f95</t>
  </si>
  <si>
    <t>6765228a85d21deb735a1f96</t>
  </si>
  <si>
    <t>Glow in the dark</t>
  </si>
  <si>
    <t>6765228a85d21deb735a1f97</t>
  </si>
  <si>
    <t>Blauw</t>
  </si>
  <si>
    <t>6765228a85d21deb735a1f98</t>
  </si>
  <si>
    <t>Rood</t>
  </si>
  <si>
    <t>6765228a85d21deb735a1f99</t>
  </si>
  <si>
    <t>Fluo Groen</t>
  </si>
  <si>
    <t>6765228b85d21deb735a1f9a</t>
  </si>
  <si>
    <t>Donkerblauw</t>
  </si>
  <si>
    <t>6765228b85d21deb735a1f9b</t>
  </si>
  <si>
    <t>Zwart</t>
  </si>
  <si>
    <t>6765228b85d21deb735a1f9c</t>
  </si>
  <si>
    <t>Sublistop</t>
  </si>
  <si>
    <t>6765228b85d21deb735a1f9d</t>
  </si>
  <si>
    <t>Printflex</t>
  </si>
  <si>
    <t>6765228b85d21deb735a1f9e</t>
  </si>
  <si>
    <t>Wit</t>
  </si>
  <si>
    <t>6765228b85d21deb735a1f9f</t>
  </si>
  <si>
    <t>geel</t>
  </si>
  <si>
    <t>6765228b85d21deb735a1fa0</t>
  </si>
  <si>
    <t>lichtblauw</t>
  </si>
  <si>
    <t>6765228b85d21deb735a1fa1</t>
  </si>
  <si>
    <t>donker groen</t>
  </si>
  <si>
    <t>6765228b85d21deb735a1fa2</t>
  </si>
  <si>
    <t>bruin kaki</t>
  </si>
  <si>
    <t>6765228b85d21deb735a1fa3</t>
  </si>
  <si>
    <t>donker roos</t>
  </si>
  <si>
    <t>6765228b85d21deb735a1fa4</t>
  </si>
  <si>
    <t>roos glitter</t>
  </si>
  <si>
    <t>6765228e85d21deb735a1fc5</t>
  </si>
  <si>
    <t>rol_per_square_meter</t>
  </si>
  <si>
    <t>Avery MPI 2000 1M37</t>
  </si>
  <si>
    <t>6765228e85d21deb735a1fc6</t>
  </si>
  <si>
    <t>Avery MPI 2000 1M60</t>
  </si>
  <si>
    <t>6765228e85d21deb735a1fc7</t>
  </si>
  <si>
    <t>Avery MPI 2004 1M37</t>
  </si>
  <si>
    <t>6765228e85d21deb735a1fc8</t>
  </si>
  <si>
    <t>Avery MPI 2006 1M37</t>
  </si>
  <si>
    <t>6765228e85d21deb735a1fc9</t>
  </si>
  <si>
    <t>Avery MPI 2020 matt 1m37</t>
  </si>
  <si>
    <t>6765228e85d21deb735a1fca</t>
  </si>
  <si>
    <t>Avery MPI 2040 transp gloss 1m37</t>
  </si>
  <si>
    <t>6765228e85d21deb735a1fcb</t>
  </si>
  <si>
    <t>Avery MPI 2040 transp gloss 1m50</t>
  </si>
  <si>
    <t>6765228e85d21deb735a1fcc</t>
  </si>
  <si>
    <t>Avery MPI 3000 1M37</t>
  </si>
  <si>
    <t>6765228e85d21deb735a1fcd</t>
  </si>
  <si>
    <t>6765228e85d21deb735a1fce</t>
  </si>
  <si>
    <t>total_rol_per_meter</t>
  </si>
  <si>
    <t>Spandoek Mesh 1M60</t>
  </si>
  <si>
    <t>6765228e85d21deb735a1fcf</t>
  </si>
  <si>
    <t xml:space="preserve">neschen 1m37 </t>
  </si>
  <si>
    <t>6765228e85d21deb735a1fd0</t>
  </si>
  <si>
    <t>One way vision 1m</t>
  </si>
  <si>
    <t>6765228e85d21deb735a1fd1</t>
  </si>
  <si>
    <t>One way vision 1m37</t>
  </si>
  <si>
    <t>6765228f85d21deb735a1fd2</t>
  </si>
  <si>
    <t>Avery mpi 1105 1m52</t>
  </si>
  <si>
    <t>6765228f85d21deb735a1fd3</t>
  </si>
  <si>
    <t>3m transparant casting 1m37</t>
  </si>
  <si>
    <t>6765228f85d21deb735a1fd4</t>
  </si>
  <si>
    <t>Spandoek jet550 1m37</t>
  </si>
  <si>
    <t>6765228f85d21deb735a1fd5</t>
  </si>
  <si>
    <t>Avery mpi 3000 1M37</t>
  </si>
  <si>
    <t>6765228f85d21deb735a1fd6</t>
  </si>
  <si>
    <t>AVERY MPI 3000 1M37</t>
  </si>
  <si>
    <t>6765228f85d21deb735a1fd7</t>
  </si>
  <si>
    <t>Avery mpi 1105 1M52</t>
  </si>
  <si>
    <t>6765228f85d21deb735a1fd9</t>
  </si>
  <si>
    <t>6765228f85d21deb735a1fda</t>
  </si>
  <si>
    <t>6765228f85d21deb735a1fdb</t>
  </si>
  <si>
    <t>6765228f85d21deb735a1fdc</t>
  </si>
  <si>
    <t>6765228f85d21deb735a1fdd</t>
  </si>
  <si>
    <t>Canvas 1m37</t>
  </si>
  <si>
    <t>6765228f85d21deb735a1fde</t>
  </si>
  <si>
    <t>HEXIS HIGHTAC WALL</t>
  </si>
  <si>
    <t>6765229085d21deb735a1fdf</t>
  </si>
  <si>
    <t>Avery mpi 3004 1M37</t>
  </si>
  <si>
    <t>6765229085d21deb735a1fe0</t>
  </si>
  <si>
    <t>6765229085d21deb735a1fe1</t>
  </si>
  <si>
    <t>6765229085d21deb735a1fe2</t>
  </si>
  <si>
    <t>6765229085d21deb735a1fe3</t>
  </si>
  <si>
    <t>6780d319f17ffae576026ce8</t>
  </si>
  <si>
    <t>Roll-up 1M</t>
  </si>
  <si>
    <t>687f44e5105ffa8e29b24c8c</t>
  </si>
  <si>
    <t>AVERY MPI 2000 1M60</t>
  </si>
  <si>
    <t>687f465b105ffa8e29b24c8d</t>
  </si>
  <si>
    <t>687f46fa105ffa8e29b24c8e</t>
  </si>
  <si>
    <t>neschen 1m37</t>
  </si>
  <si>
    <t>6765228b85d21deb735a1fa5</t>
  </si>
  <si>
    <t>Avery Gloss Grey</t>
  </si>
  <si>
    <t>6765228b85d21deb735a1fa6</t>
  </si>
  <si>
    <t>Avery SWF Brons Grey Gloss</t>
  </si>
  <si>
    <t>6765228b85d21deb735a1fa7</t>
  </si>
  <si>
    <t>Avery SWF Cardine Red</t>
  </si>
  <si>
    <t>6765228c85d21deb735a1fa8</t>
  </si>
  <si>
    <t>Avery SWF Dark Blue Metallic</t>
  </si>
  <si>
    <t>6765228c85d21deb735a1fa9</t>
  </si>
  <si>
    <t xml:space="preserve">Avery SWF gloss black </t>
  </si>
  <si>
    <t>6765228c85d21deb735a1faa</t>
  </si>
  <si>
    <t>6765228c85d21deb735a1fab</t>
  </si>
  <si>
    <t>6765228c85d21deb735a1fac</t>
  </si>
  <si>
    <t>6765228c85d21deb735a1fad</t>
  </si>
  <si>
    <t>Avery SWF Gloss Metallic Passion Red</t>
  </si>
  <si>
    <t>6765228c85d21deb735a1fae</t>
  </si>
  <si>
    <t>Avery SWF Gloss Soft Red</t>
  </si>
  <si>
    <t>6765228c85d21deb735a1faf</t>
  </si>
  <si>
    <t>Avery SWF Gloss White</t>
  </si>
  <si>
    <t>6765228c85d21deb735a1fb0</t>
  </si>
  <si>
    <t>Avery SWF Grass Green</t>
  </si>
  <si>
    <t>6765228c85d21deb735a1fb1</t>
  </si>
  <si>
    <t>Avery SWF Indigo Blue</t>
  </si>
  <si>
    <t>6765228c85d21deb735a1fb2</t>
  </si>
  <si>
    <t>Avery SWF Khaki Matte</t>
  </si>
  <si>
    <t>6765228c85d21deb735a1fb3</t>
  </si>
  <si>
    <t>Avery SWF Light Blue</t>
  </si>
  <si>
    <t>6765228c85d21deb735a1fb4</t>
  </si>
  <si>
    <t>152</t>
  </si>
  <si>
    <t>Avery SWF Matte Black</t>
  </si>
  <si>
    <t>6765228d85d21deb735a1fb5</t>
  </si>
  <si>
    <t>6765228d85d21deb735a1fb6</t>
  </si>
  <si>
    <t>6765228d85d21deb735a1fb7</t>
  </si>
  <si>
    <t>6765228d85d21deb735a1fb8</t>
  </si>
  <si>
    <t>Avery SWF Matte Metallic Gunmetal</t>
  </si>
  <si>
    <t>6765228d85d21deb735a1fb9</t>
  </si>
  <si>
    <t>Avery SWF Matte White</t>
  </si>
  <si>
    <t>6765228d85d21deb735a1fba</t>
  </si>
  <si>
    <t>Avery SWF Red Chrome</t>
  </si>
  <si>
    <t>6765228d85d21deb735a1fbb</t>
  </si>
  <si>
    <t>6765228d85d21deb735a1fbc</t>
  </si>
  <si>
    <t>Avery SWF Satin White</t>
  </si>
  <si>
    <t>6765228d85d21deb735a1fbd</t>
  </si>
  <si>
    <t>Brushed Steel</t>
  </si>
  <si>
    <t>6765228d85d21deb735a1fbe</t>
  </si>
  <si>
    <t>Hexis Fluo Groen</t>
  </si>
  <si>
    <t>6765228d85d21deb735a1fbf</t>
  </si>
  <si>
    <t>Hexis Gloss Light Blue</t>
  </si>
  <si>
    <t>6765228d85d21deb735a1fc0</t>
  </si>
  <si>
    <t>Hexis oranje</t>
  </si>
  <si>
    <t>6765228d85d21deb735a1fc1</t>
  </si>
  <si>
    <t>Hexis SWF Goud 20871B</t>
  </si>
  <si>
    <t>6765228d85d21deb735a1fc2</t>
  </si>
  <si>
    <t>Hexis White matt</t>
  </si>
  <si>
    <t>6765228e85d21deb735a1fc3</t>
  </si>
  <si>
    <t>Krijtfolie</t>
  </si>
  <si>
    <t>6765228e85d21deb735a1fc4</t>
  </si>
  <si>
    <t>Xpell</t>
  </si>
  <si>
    <t>68808502d0d8dc93cc8ae28f</t>
  </si>
  <si>
    <t>Avery SWF Gloss Metallic gold</t>
  </si>
  <si>
    <t>6880931fb3031d56aff6efa2</t>
  </si>
  <si>
    <t>688093a3b3031d56aff6efa3</t>
  </si>
  <si>
    <t>Avery SWF Satin Khaki</t>
  </si>
  <si>
    <t>68809435b3031d56aff6efa4</t>
  </si>
  <si>
    <t>Avery SWF Satin Black</t>
  </si>
  <si>
    <t>68809474b3031d56aff6efa5</t>
  </si>
  <si>
    <t>Avery SWF Gloss Yellow-O</t>
  </si>
  <si>
    <t>6765229085d21deb735a1fe4</t>
  </si>
  <si>
    <t>Ontvetter</t>
  </si>
  <si>
    <t>fles</t>
  </si>
  <si>
    <t>6765229085d21deb735a1fe5</t>
  </si>
  <si>
    <t>lijmverwijderaar</t>
  </si>
  <si>
    <t>6765229085d21deb735a1fe6</t>
  </si>
  <si>
    <t>schilderstape</t>
  </si>
  <si>
    <t>6765229085d21deb735a1fe7</t>
  </si>
  <si>
    <t>zwarte ductape</t>
  </si>
  <si>
    <t>6765229085d21deb735a1fe8</t>
  </si>
  <si>
    <t>castaar tape</t>
  </si>
  <si>
    <t>6765229085d21deb735a1fe9</t>
  </si>
  <si>
    <t xml:space="preserve">bruine tape </t>
  </si>
  <si>
    <t>687f5d967eb20c090720da58</t>
  </si>
  <si>
    <t>Beton WEBER 25Kg</t>
  </si>
  <si>
    <t>6765228985d21deb735a1f80</t>
  </si>
  <si>
    <t>Magneetfolie 1m</t>
  </si>
  <si>
    <t>6765228985d21deb735a1f81</t>
  </si>
  <si>
    <t>6765228985d21deb735a1f82</t>
  </si>
  <si>
    <t>Magneetfolie 0,62m</t>
  </si>
  <si>
    <t>6765228785d21deb735a1f6f</t>
  </si>
  <si>
    <t>300 cm</t>
  </si>
  <si>
    <t>Zwart metaal</t>
  </si>
  <si>
    <t>6765228785d21deb735a1f70</t>
  </si>
  <si>
    <t>300</t>
  </si>
  <si>
    <t>Grijs Alva</t>
  </si>
  <si>
    <t>6765228885d21deb735a1f71</t>
  </si>
  <si>
    <t>250</t>
  </si>
  <si>
    <t>6765228885d21deb735a1f73</t>
  </si>
  <si>
    <t>190</t>
  </si>
  <si>
    <t>6765228885d21deb735a1f74</t>
  </si>
  <si>
    <t>Leuningdragers Grijs Metaal</t>
  </si>
  <si>
    <t>6765228885d21deb735a1f75</t>
  </si>
  <si>
    <t>T-stuk Grijs Metaal</t>
  </si>
  <si>
    <t>6765228885d21deb735a1f76</t>
  </si>
  <si>
    <t>Koppelstuk Grijs Metaal</t>
  </si>
  <si>
    <t>6765228885d21deb735a1f77</t>
  </si>
  <si>
    <t>Voetstukken Grijs Metaal</t>
  </si>
  <si>
    <t>6765228885d21deb735a1f78</t>
  </si>
  <si>
    <t>Leuningdragers Zwart Metaal</t>
  </si>
  <si>
    <t>6765228885d21deb735a1f79</t>
  </si>
  <si>
    <t>90° Zwart Metaal</t>
  </si>
  <si>
    <t>6765228885d21deb735a1f7a</t>
  </si>
  <si>
    <t>90° Grijs Metaal</t>
  </si>
  <si>
    <t>6765228985d21deb735a1f83</t>
  </si>
  <si>
    <t>123</t>
  </si>
  <si>
    <t>Aslan Dry Apply EL 300</t>
  </si>
  <si>
    <t>6765228985d21deb735a1f84</t>
  </si>
  <si>
    <t>6765228985d21deb735a1f85</t>
  </si>
  <si>
    <t>Aslan PrintSilverEtched DryApply DFL 302</t>
  </si>
  <si>
    <t>6765228985d21deb735a1f86</t>
  </si>
  <si>
    <t>6765228985d21deb735a1f87</t>
  </si>
  <si>
    <t>Hexis Edged glass 1m23</t>
  </si>
  <si>
    <t>6765228985d21deb735a1f88</t>
  </si>
  <si>
    <t>6765228985d21deb735a1f89</t>
  </si>
  <si>
    <t>6765228985d21deb735a1f8a</t>
  </si>
  <si>
    <t>6765228985d21deb735a1f8b</t>
  </si>
  <si>
    <t>6765228a85d21deb735a1f8c</t>
  </si>
  <si>
    <t>Hexis Edged glass 1m50</t>
  </si>
  <si>
    <t>6765228a85d21deb735a1f8d</t>
  </si>
  <si>
    <t>6765228a85d21deb735a1f8e</t>
  </si>
  <si>
    <t>6765228785d21deb735a1f6b</t>
  </si>
  <si>
    <t>25cm</t>
  </si>
  <si>
    <t>Rekkers 25cm</t>
  </si>
  <si>
    <t>6765228785d21deb735a1f6c</t>
  </si>
  <si>
    <t>20cm</t>
  </si>
  <si>
    <t>Rekkers 20cm</t>
  </si>
  <si>
    <t>6765228785d21deb735a1f6d</t>
  </si>
  <si>
    <t>6765228785d21deb735a1f6e</t>
  </si>
  <si>
    <t>Strips 360 x 4,8mm</t>
  </si>
  <si>
    <t>Database</t>
  </si>
  <si>
    <t>Category</t>
  </si>
  <si>
    <t>borden</t>
  </si>
  <si>
    <t>afstandshouder</t>
  </si>
  <si>
    <t>hout</t>
  </si>
  <si>
    <t>plexi_opaal</t>
  </si>
  <si>
    <t>forex_zwart</t>
  </si>
  <si>
    <t>forex_wit</t>
  </si>
  <si>
    <t>zwart</t>
  </si>
  <si>
    <t>wit</t>
  </si>
  <si>
    <t>kanaalplaten</t>
  </si>
  <si>
    <t>brushed_steel</t>
  </si>
  <si>
    <t>plexiglas</t>
  </si>
  <si>
    <t>stock</t>
  </si>
  <si>
    <t>rollup</t>
  </si>
  <si>
    <t>snijfolie</t>
  </si>
  <si>
    <t>interieurfolie</t>
  </si>
  <si>
    <t>flex</t>
  </si>
  <si>
    <t>printfolie</t>
  </si>
  <si>
    <t>swf</t>
  </si>
  <si>
    <t>allerlei</t>
  </si>
  <si>
    <t>magneetfolie</t>
  </si>
  <si>
    <t>buizen</t>
  </si>
  <si>
    <t>zandstraal</t>
  </si>
  <si>
    <t>rekkers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</si>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</sst>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EB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0" fillId="0" borderId="0" xfId="0" applyProtection="1"/>
    <xf numFmtId="164" fontId="0" fillId="0" borderId="0" xfId="0" applyNumberFormat="1" applyProtection="1"/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164" fontId="1" fillId="0" borderId="1" xfId="0" applyNumberFormat="1" applyFont="1" applyBorder="1" applyProtection="1"/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0" fontId="3" fillId="3" borderId="0" xfId="0" applyFont="1" applyFill="1"/>
    <xf numFmtId="0" fontId="3" fillId="3" borderId="2" xfId="0" applyFont="1" applyFill="1" applyBorder="1"/>
    <xf numFmtId="164" fontId="3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3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15</v>
      </c>
      <c r="B2" s="4">
        <v>18</v>
      </c>
      <c r="C2" s="4" t="s">
        <v>16</v>
      </c>
      <c r="D2" s="4"/>
      <c r="E2" s="4"/>
      <c r="F2" s="4"/>
      <c r="G2" s="4" t="s">
        <v>17</v>
      </c>
      <c r="H2" s="4"/>
      <c r="I2" s="4">
        <v>5.68</v>
      </c>
      <c r="J2" s="4"/>
      <c r="K2" s="4">
        <v>1.5</v>
      </c>
      <c r="L2" s="4"/>
      <c r="M2" s="4" t="s">
        <v>18</v>
      </c>
      <c r="N2" s="4"/>
      <c r="O2" s="3">
        <f>=B2*I2</f>
      </c>
    </row>
    <row r="3" spans="1:15" x14ac:dyDescent="0.25">
      <c r="A3" s="2" t="s">
        <v>19</v>
      </c>
      <c r="B3" s="4">
        <v>108</v>
      </c>
      <c r="C3" s="4" t="s">
        <v>16</v>
      </c>
      <c r="D3" s="4"/>
      <c r="E3" s="4"/>
      <c r="F3" s="4"/>
      <c r="G3" s="4" t="s">
        <v>20</v>
      </c>
      <c r="H3" s="4"/>
      <c r="I3" s="4">
        <v>0.57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21</v>
      </c>
      <c r="B4" s="4">
        <v>123</v>
      </c>
      <c r="C4" s="4" t="s">
        <v>16</v>
      </c>
      <c r="D4" s="4"/>
      <c r="E4" s="4"/>
      <c r="F4" s="4"/>
      <c r="G4" s="4" t="s">
        <v>22</v>
      </c>
      <c r="H4" s="4"/>
      <c r="I4" s="4">
        <v>0.58</v>
      </c>
      <c r="J4" s="4"/>
      <c r="K4" s="4">
        <v>0</v>
      </c>
      <c r="L4" s="4"/>
      <c r="M4" s="4" t="s">
        <v>18</v>
      </c>
      <c r="N4" s="4"/>
      <c r="O4" s="3">
        <f>=B4*I4</f>
      </c>
    </row>
    <row r="5" spans="1:15" x14ac:dyDescent="0.25">
      <c r="A5" s="2" t="s">
        <v>23</v>
      </c>
      <c r="B5" s="4">
        <v>97</v>
      </c>
      <c r="C5" s="4" t="s">
        <v>16</v>
      </c>
      <c r="D5" s="4"/>
      <c r="E5" s="4"/>
      <c r="F5" s="4"/>
      <c r="G5" s="4" t="s">
        <v>24</v>
      </c>
      <c r="H5" s="4"/>
      <c r="I5" s="4">
        <v>0.61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5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26</v>
      </c>
      <c r="B2" s="4">
        <v>3</v>
      </c>
      <c r="C2" s="4" t="s">
        <v>27</v>
      </c>
      <c r="D2" s="4">
        <v>2</v>
      </c>
      <c r="E2" s="4"/>
      <c r="F2" s="4">
        <v>7.5</v>
      </c>
      <c r="G2" s="4" t="s">
        <v>28</v>
      </c>
      <c r="H2" s="4"/>
      <c r="I2" s="4"/>
      <c r="J2" s="4"/>
      <c r="K2" s="4"/>
      <c r="L2" s="4"/>
      <c r="M2" s="4" t="s">
        <v>18</v>
      </c>
      <c r="N2" s="4">
        <v>410</v>
      </c>
      <c r="O2" s="3">
        <f>=B2*(N2*F2/10000)*J2</f>
      </c>
    </row>
    <row r="3" spans="1:15" x14ac:dyDescent="0.25">
      <c r="A3" s="2" t="s">
        <v>29</v>
      </c>
      <c r="B3" s="4">
        <v>1</v>
      </c>
      <c r="C3" s="4" t="s">
        <v>27</v>
      </c>
      <c r="D3" s="4">
        <v>6</v>
      </c>
      <c r="E3" s="4"/>
      <c r="F3" s="4">
        <v>6.5</v>
      </c>
      <c r="G3" s="4" t="s">
        <v>30</v>
      </c>
      <c r="H3" s="4"/>
      <c r="I3" s="4"/>
      <c r="J3" s="4"/>
      <c r="K3" s="4"/>
      <c r="L3" s="4"/>
      <c r="M3" s="4" t="s">
        <v>18</v>
      </c>
      <c r="N3" s="4">
        <v>212</v>
      </c>
      <c r="O3" s="3">
        <f>=B3*(N3*F3/10000)*J3</f>
      </c>
    </row>
    <row r="4" spans="1:15" x14ac:dyDescent="0.25">
      <c r="A4" s="2" t="s">
        <v>31</v>
      </c>
      <c r="B4" s="4">
        <v>1</v>
      </c>
      <c r="C4" s="4" t="s">
        <v>27</v>
      </c>
      <c r="D4" s="4">
        <v>5.5</v>
      </c>
      <c r="E4" s="4"/>
      <c r="F4" s="4">
        <v>8</v>
      </c>
      <c r="G4" s="4" t="s">
        <v>32</v>
      </c>
      <c r="H4" s="4"/>
      <c r="I4" s="4"/>
      <c r="J4" s="4"/>
      <c r="K4" s="4"/>
      <c r="L4" s="4"/>
      <c r="M4" s="4" t="s">
        <v>18</v>
      </c>
      <c r="N4" s="4">
        <v>3</v>
      </c>
      <c r="O4" s="3">
        <f>=B4*(N4*F4/10000)*J4</f>
      </c>
    </row>
    <row r="5" spans="1:15" x14ac:dyDescent="0.25">
      <c r="A5" s="2" t="s">
        <v>33</v>
      </c>
      <c r="B5" s="4">
        <v>2</v>
      </c>
      <c r="C5" s="4" t="s">
        <v>27</v>
      </c>
      <c r="D5" s="4">
        <v>8.5</v>
      </c>
      <c r="E5" s="4"/>
      <c r="F5" s="4">
        <v>9</v>
      </c>
      <c r="G5" s="4" t="s">
        <v>34</v>
      </c>
      <c r="H5" s="4"/>
      <c r="I5" s="4"/>
      <c r="J5" s="4"/>
      <c r="K5" s="4"/>
      <c r="L5" s="4"/>
      <c r="M5" s="4" t="s">
        <v>18</v>
      </c>
      <c r="N5" s="4">
        <v>180</v>
      </c>
      <c r="O5" s="3">
        <f>=B5*(N5*F5/10000)*J5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7" width="11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35</v>
      </c>
      <c r="B2" s="4">
        <v>1</v>
      </c>
      <c r="C2" s="4" t="s">
        <v>27</v>
      </c>
      <c r="D2" s="4"/>
      <c r="E2" s="4"/>
      <c r="F2" s="4">
        <v>100</v>
      </c>
      <c r="G2" s="4" t="s">
        <v>36</v>
      </c>
      <c r="H2" s="4"/>
      <c r="I2" s="4"/>
      <c r="J2" s="4">
        <v>6.19</v>
      </c>
      <c r="K2" s="4">
        <v>3</v>
      </c>
      <c r="L2" s="4"/>
      <c r="M2" s="4" t="s">
        <v>18</v>
      </c>
      <c r="N2" s="4">
        <v>180</v>
      </c>
      <c r="O2" s="3">
        <f>=B2*(N2*F2/10000)*J2</f>
      </c>
    </row>
    <row r="3" spans="1:15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25</v>
      </c>
      <c r="O3" s="6">
        <f>=SUM(O2:O2)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37</v>
      </c>
      <c r="B2" s="4">
        <v>2</v>
      </c>
      <c r="C2" s="4" t="s">
        <v>27</v>
      </c>
      <c r="D2" s="4"/>
      <c r="E2" s="4"/>
      <c r="F2" s="4">
        <v>100</v>
      </c>
      <c r="G2" s="4" t="s">
        <v>38</v>
      </c>
      <c r="H2" s="4"/>
      <c r="I2" s="4"/>
      <c r="J2" s="4">
        <v>4.76</v>
      </c>
      <c r="K2" s="4">
        <v>1</v>
      </c>
      <c r="L2" s="4"/>
      <c r="M2" s="4" t="s">
        <v>18</v>
      </c>
      <c r="N2" s="4">
        <v>120</v>
      </c>
      <c r="O2" s="3">
        <f>=B2*(N2*F2/10000)*J2</f>
      </c>
    </row>
    <row r="3" spans="1:15" x14ac:dyDescent="0.25">
      <c r="A3" s="2" t="s">
        <v>39</v>
      </c>
      <c r="B3" s="4">
        <v>1</v>
      </c>
      <c r="C3" s="4" t="s">
        <v>27</v>
      </c>
      <c r="D3" s="4"/>
      <c r="E3" s="4"/>
      <c r="F3" s="4">
        <v>118</v>
      </c>
      <c r="G3" s="4" t="s">
        <v>40</v>
      </c>
      <c r="H3" s="4"/>
      <c r="I3" s="4"/>
      <c r="J3" s="4">
        <v>4.76</v>
      </c>
      <c r="K3" s="4">
        <v>4</v>
      </c>
      <c r="L3" s="4"/>
      <c r="M3" s="4" t="s">
        <v>18</v>
      </c>
      <c r="N3" s="4">
        <v>122</v>
      </c>
      <c r="O3" s="3">
        <f>=B3*(N3*F3/10000)*J3</f>
      </c>
    </row>
    <row r="4" spans="1:15" x14ac:dyDescent="0.25">
      <c r="A4" s="2" t="s">
        <v>41</v>
      </c>
      <c r="B4" s="4">
        <v>1</v>
      </c>
      <c r="C4" s="4" t="s">
        <v>27</v>
      </c>
      <c r="D4" s="4"/>
      <c r="E4" s="4"/>
      <c r="F4" s="4">
        <v>40</v>
      </c>
      <c r="G4" s="4" t="s">
        <v>42</v>
      </c>
      <c r="H4" s="4"/>
      <c r="I4" s="4"/>
      <c r="J4" s="4">
        <v>4.76</v>
      </c>
      <c r="K4" s="4"/>
      <c r="L4" s="4"/>
      <c r="M4" s="4" t="s">
        <v>18</v>
      </c>
      <c r="N4" s="4">
        <v>30</v>
      </c>
      <c r="O4" s="3">
        <f>=B4*(N4*F4/10000)*J4</f>
      </c>
    </row>
    <row r="5" spans="1:15" x14ac:dyDescent="0.25">
      <c r="A5" s="2" t="s">
        <v>43</v>
      </c>
      <c r="B5" s="4">
        <v>1</v>
      </c>
      <c r="C5" s="4" t="s">
        <v>27</v>
      </c>
      <c r="D5" s="4"/>
      <c r="E5" s="4"/>
      <c r="F5" s="4">
        <v>147</v>
      </c>
      <c r="G5" s="4" t="s">
        <v>44</v>
      </c>
      <c r="H5" s="4"/>
      <c r="I5" s="4"/>
      <c r="J5" s="4">
        <v>4.76</v>
      </c>
      <c r="K5" s="4">
        <v>4</v>
      </c>
      <c r="L5" s="4"/>
      <c r="M5" s="4" t="s">
        <v>18</v>
      </c>
      <c r="N5" s="4">
        <v>150</v>
      </c>
      <c r="O5" s="3">
        <f>=B5*(N5*F5/10000)*J5</f>
      </c>
    </row>
    <row r="6" spans="1:15" x14ac:dyDescent="0.25">
      <c r="A6" s="2" t="s">
        <v>45</v>
      </c>
      <c r="B6" s="4">
        <v>1</v>
      </c>
      <c r="C6" s="4" t="s">
        <v>27</v>
      </c>
      <c r="D6" s="4"/>
      <c r="E6" s="4"/>
      <c r="F6" s="4">
        <v>42</v>
      </c>
      <c r="G6" s="4" t="s">
        <v>46</v>
      </c>
      <c r="H6" s="4"/>
      <c r="I6" s="4"/>
      <c r="J6" s="4">
        <v>4.76</v>
      </c>
      <c r="K6" s="4">
        <v>3</v>
      </c>
      <c r="L6" s="4"/>
      <c r="M6" s="4" t="s">
        <v>18</v>
      </c>
      <c r="N6" s="4">
        <v>44</v>
      </c>
      <c r="O6" s="3">
        <f>=B6*(N6*F6/10000)*J6</f>
      </c>
    </row>
    <row r="7" spans="1:15" x14ac:dyDescent="0.25">
      <c r="A7" s="2" t="s">
        <v>47</v>
      </c>
      <c r="B7" s="4">
        <v>2</v>
      </c>
      <c r="C7" s="4" t="s">
        <v>27</v>
      </c>
      <c r="D7" s="4"/>
      <c r="E7" s="4"/>
      <c r="F7" s="4">
        <v>18</v>
      </c>
      <c r="G7" s="4" t="s">
        <v>48</v>
      </c>
      <c r="H7" s="4"/>
      <c r="I7" s="4"/>
      <c r="J7" s="4">
        <v>4.76</v>
      </c>
      <c r="K7" s="4">
        <v>1</v>
      </c>
      <c r="L7" s="4"/>
      <c r="M7" s="4" t="s">
        <v>18</v>
      </c>
      <c r="N7" s="4">
        <v>200</v>
      </c>
      <c r="O7" s="3">
        <f>=B7*(N7*F7/10000)*J7</f>
      </c>
    </row>
    <row r="8" spans="1:15" x14ac:dyDescent="0.25">
      <c r="A8" s="2" t="s">
        <v>49</v>
      </c>
      <c r="B8" s="4">
        <v>1</v>
      </c>
      <c r="C8" s="4" t="s">
        <v>27</v>
      </c>
      <c r="D8" s="4"/>
      <c r="E8" s="4"/>
      <c r="F8" s="4">
        <v>120</v>
      </c>
      <c r="G8" s="4" t="s">
        <v>50</v>
      </c>
      <c r="H8" s="4"/>
      <c r="I8" s="4"/>
      <c r="J8" s="4">
        <v>4.76</v>
      </c>
      <c r="K8" s="4">
        <v>4</v>
      </c>
      <c r="L8" s="4"/>
      <c r="M8" s="4" t="s">
        <v>18</v>
      </c>
      <c r="N8" s="4">
        <v>204</v>
      </c>
      <c r="O8" s="3">
        <f>=B8*(N8*F8/10000)*J8</f>
      </c>
    </row>
    <row r="9" spans="1:15" x14ac:dyDescent="0.25">
      <c r="A9" s="2" t="s">
        <v>51</v>
      </c>
      <c r="B9" s="4">
        <v>1</v>
      </c>
      <c r="C9" s="4" t="s">
        <v>27</v>
      </c>
      <c r="D9" s="4"/>
      <c r="E9" s="4"/>
      <c r="F9" s="4">
        <v>9.5</v>
      </c>
      <c r="G9" s="4" t="s">
        <v>52</v>
      </c>
      <c r="H9" s="4"/>
      <c r="I9" s="4"/>
      <c r="J9" s="4">
        <v>4.76</v>
      </c>
      <c r="K9" s="4">
        <v>4</v>
      </c>
      <c r="L9" s="4"/>
      <c r="M9" s="4" t="s">
        <v>18</v>
      </c>
      <c r="N9" s="4">
        <v>23</v>
      </c>
      <c r="O9" s="3">
        <f>=B9*(N9*F9/10000)*J9</f>
      </c>
    </row>
    <row r="10" spans="1:15" x14ac:dyDescent="0.25">
      <c r="A10" s="2" t="s">
        <v>53</v>
      </c>
      <c r="B10" s="4">
        <v>1</v>
      </c>
      <c r="C10" s="4" t="s">
        <v>27</v>
      </c>
      <c r="D10" s="4"/>
      <c r="E10" s="4"/>
      <c r="F10" s="4">
        <v>18</v>
      </c>
      <c r="G10" s="4" t="s">
        <v>54</v>
      </c>
      <c r="H10" s="4"/>
      <c r="I10" s="4"/>
      <c r="J10" s="4">
        <v>4.76</v>
      </c>
      <c r="K10" s="4">
        <v>5</v>
      </c>
      <c r="L10" s="4"/>
      <c r="M10" s="4" t="s">
        <v>18</v>
      </c>
      <c r="N10" s="4">
        <v>24</v>
      </c>
      <c r="O10" s="3">
        <f>=B10*(N10*F10/10000)*J10</f>
      </c>
    </row>
    <row r="11" spans="1:15" x14ac:dyDescent="0.25">
      <c r="A11" s="2" t="s">
        <v>55</v>
      </c>
      <c r="B11" s="4">
        <v>1</v>
      </c>
      <c r="C11" s="4" t="s">
        <v>27</v>
      </c>
      <c r="D11" s="4"/>
      <c r="E11" s="4"/>
      <c r="F11" s="4">
        <v>97</v>
      </c>
      <c r="G11" s="4" t="s">
        <v>56</v>
      </c>
      <c r="H11" s="4"/>
      <c r="I11" s="4"/>
      <c r="J11" s="4">
        <v>4.76</v>
      </c>
      <c r="K11" s="4">
        <v>5</v>
      </c>
      <c r="L11" s="4"/>
      <c r="M11" s="4" t="s">
        <v>18</v>
      </c>
      <c r="N11" s="4">
        <v>24</v>
      </c>
      <c r="O11" s="3">
        <f>=B11*(N11*F11/10000)*J11</f>
      </c>
    </row>
    <row r="12" spans="1:15" x14ac:dyDescent="0.25">
      <c r="A12" s="2" t="s">
        <v>57</v>
      </c>
      <c r="B12" s="4">
        <v>3</v>
      </c>
      <c r="C12" s="4" t="s">
        <v>27</v>
      </c>
      <c r="D12" s="4"/>
      <c r="E12" s="4"/>
      <c r="F12" s="4">
        <v>30</v>
      </c>
      <c r="G12" s="4" t="s">
        <v>58</v>
      </c>
      <c r="H12" s="4"/>
      <c r="I12" s="4"/>
      <c r="J12" s="4">
        <v>4.76</v>
      </c>
      <c r="K12" s="4">
        <v>7</v>
      </c>
      <c r="L12" s="4"/>
      <c r="M12" s="4" t="s">
        <v>18</v>
      </c>
      <c r="N12" s="4">
        <v>30</v>
      </c>
      <c r="O12" s="3">
        <f>=B12*(N12*F12/10000)*J12</f>
      </c>
    </row>
    <row r="13" spans="1:15" x14ac:dyDescent="0.25">
      <c r="A13" s="2" t="s">
        <v>59</v>
      </c>
      <c r="B13" s="4">
        <v>8</v>
      </c>
      <c r="C13" s="4" t="s">
        <v>27</v>
      </c>
      <c r="D13" s="4"/>
      <c r="E13" s="4"/>
      <c r="F13" s="4">
        <v>29</v>
      </c>
      <c r="G13" s="4" t="s">
        <v>60</v>
      </c>
      <c r="H13" s="4"/>
      <c r="I13" s="4"/>
      <c r="J13" s="4">
        <v>4.76</v>
      </c>
      <c r="K13" s="4">
        <v>4</v>
      </c>
      <c r="L13" s="4"/>
      <c r="M13" s="4" t="s">
        <v>18</v>
      </c>
      <c r="N13" s="4">
        <v>32</v>
      </c>
      <c r="O13" s="3">
        <f>=B13*(N13*F13/10000)*J13</f>
      </c>
    </row>
    <row r="14" spans="1:15" x14ac:dyDescent="0.25">
      <c r="A14" s="2" t="s">
        <v>61</v>
      </c>
      <c r="B14" s="4">
        <v>1</v>
      </c>
      <c r="C14" s="4" t="s">
        <v>27</v>
      </c>
      <c r="D14" s="4"/>
      <c r="E14" s="4"/>
      <c r="F14" s="4">
        <v>29</v>
      </c>
      <c r="G14" s="4" t="s">
        <v>62</v>
      </c>
      <c r="H14" s="4"/>
      <c r="I14" s="4"/>
      <c r="J14" s="4">
        <v>4.76</v>
      </c>
      <c r="K14" s="4">
        <v>5</v>
      </c>
      <c r="L14" s="4"/>
      <c r="M14" s="4" t="s">
        <v>18</v>
      </c>
      <c r="N14" s="4">
        <v>34</v>
      </c>
      <c r="O14" s="3">
        <f>=B14*(N14*F14/10000)*J14</f>
      </c>
    </row>
    <row r="15" spans="1:15" x14ac:dyDescent="0.25">
      <c r="A15" s="2" t="s">
        <v>63</v>
      </c>
      <c r="B15" s="4">
        <v>1</v>
      </c>
      <c r="C15" s="4" t="s">
        <v>27</v>
      </c>
      <c r="D15" s="4"/>
      <c r="E15" s="4"/>
      <c r="F15" s="4">
        <v>18</v>
      </c>
      <c r="G15" s="4" t="s">
        <v>64</v>
      </c>
      <c r="H15" s="4"/>
      <c r="I15" s="4"/>
      <c r="J15" s="4">
        <v>4.76</v>
      </c>
      <c r="K15" s="4">
        <v>5</v>
      </c>
      <c r="L15" s="4"/>
      <c r="M15" s="4" t="s">
        <v>18</v>
      </c>
      <c r="N15" s="4">
        <v>40</v>
      </c>
      <c r="O15" s="3">
        <f>=B15*(N15*F15/10000)*J15</f>
      </c>
    </row>
    <row r="16" spans="1:15" x14ac:dyDescent="0.25">
      <c r="A16" s="2" t="s">
        <v>65</v>
      </c>
      <c r="B16" s="4">
        <v>1</v>
      </c>
      <c r="C16" s="4" t="s">
        <v>27</v>
      </c>
      <c r="D16" s="4"/>
      <c r="E16" s="4"/>
      <c r="F16" s="4">
        <v>40</v>
      </c>
      <c r="G16" s="4" t="s">
        <v>66</v>
      </c>
      <c r="H16" s="4"/>
      <c r="I16" s="4"/>
      <c r="J16" s="4">
        <v>4.76</v>
      </c>
      <c r="K16" s="4">
        <v>5</v>
      </c>
      <c r="L16" s="4"/>
      <c r="M16" s="4" t="s">
        <v>18</v>
      </c>
      <c r="N16" s="4">
        <v>40</v>
      </c>
      <c r="O16" s="3">
        <f>=B16*(N16*F16/10000)*J16</f>
      </c>
    </row>
    <row r="17" spans="1:15" x14ac:dyDescent="0.25">
      <c r="A17" s="2" t="s">
        <v>67</v>
      </c>
      <c r="B17" s="4">
        <v>1</v>
      </c>
      <c r="C17" s="4" t="s">
        <v>27</v>
      </c>
      <c r="D17" s="4"/>
      <c r="E17" s="4"/>
      <c r="F17" s="4">
        <v>40</v>
      </c>
      <c r="G17" s="4" t="s">
        <v>68</v>
      </c>
      <c r="H17" s="4"/>
      <c r="I17" s="4"/>
      <c r="J17" s="4">
        <v>4.76</v>
      </c>
      <c r="K17" s="4"/>
      <c r="L17" s="4"/>
      <c r="M17" s="4" t="s">
        <v>18</v>
      </c>
      <c r="N17" s="4">
        <v>100</v>
      </c>
      <c r="O17" s="3">
        <f>=B17*(N17*F17/10000)*J17</f>
      </c>
    </row>
    <row r="18" spans="1:15" x14ac:dyDescent="0.25">
      <c r="A18" s="2" t="s">
        <v>69</v>
      </c>
      <c r="B18" s="4">
        <v>1</v>
      </c>
      <c r="C18" s="4" t="s">
        <v>27</v>
      </c>
      <c r="D18" s="4"/>
      <c r="E18" s="4"/>
      <c r="F18" s="4">
        <v>11</v>
      </c>
      <c r="G18" s="4" t="s">
        <v>70</v>
      </c>
      <c r="H18" s="4"/>
      <c r="I18" s="4"/>
      <c r="J18" s="4">
        <v>4.76</v>
      </c>
      <c r="K18" s="4"/>
      <c r="L18" s="4"/>
      <c r="M18" s="4" t="s">
        <v>18</v>
      </c>
      <c r="N18" s="4">
        <v>53</v>
      </c>
      <c r="O18" s="3">
        <f>=B18*(N18*F18/10000)*J18</f>
      </c>
    </row>
    <row r="19" spans="1:15" x14ac:dyDescent="0.25">
      <c r="A19" s="2" t="s">
        <v>71</v>
      </c>
      <c r="B19" s="4">
        <v>1</v>
      </c>
      <c r="C19" s="4" t="s">
        <v>27</v>
      </c>
      <c r="D19" s="4"/>
      <c r="E19" s="4"/>
      <c r="F19" s="4">
        <v>24</v>
      </c>
      <c r="G19" s="4" t="s">
        <v>72</v>
      </c>
      <c r="H19" s="4"/>
      <c r="I19" s="4"/>
      <c r="J19" s="4">
        <v>4.76</v>
      </c>
      <c r="K19" s="4"/>
      <c r="L19" s="4"/>
      <c r="M19" s="4" t="s">
        <v>18</v>
      </c>
      <c r="N19" s="4">
        <v>97</v>
      </c>
      <c r="O19" s="3">
        <f>=B19*(N19*F19/10000)*J19</f>
      </c>
    </row>
    <row r="20" spans="1:15" x14ac:dyDescent="0.25">
      <c r="A20" s="2" t="s">
        <v>73</v>
      </c>
      <c r="B20" s="4">
        <v>1</v>
      </c>
      <c r="C20" s="4" t="s">
        <v>27</v>
      </c>
      <c r="D20" s="4"/>
      <c r="E20" s="4"/>
      <c r="F20" s="4">
        <v>18</v>
      </c>
      <c r="G20" s="4" t="s">
        <v>74</v>
      </c>
      <c r="H20" s="4"/>
      <c r="I20" s="4"/>
      <c r="J20" s="4">
        <v>4.76</v>
      </c>
      <c r="K20" s="4">
        <v>5</v>
      </c>
      <c r="L20" s="4"/>
      <c r="M20" s="4" t="s">
        <v>18</v>
      </c>
      <c r="N20" s="4">
        <v>50</v>
      </c>
      <c r="O20" s="3">
        <f>=B20*(N20*F20/10000)*J20</f>
      </c>
    </row>
    <row r="21" spans="1:15" x14ac:dyDescent="0.25">
      <c r="A21" s="2" t="s">
        <v>75</v>
      </c>
      <c r="B21" s="4">
        <v>1</v>
      </c>
      <c r="C21" s="4" t="s">
        <v>27</v>
      </c>
      <c r="D21" s="4"/>
      <c r="E21" s="4"/>
      <c r="F21" s="4">
        <v>50</v>
      </c>
      <c r="G21" s="4" t="s">
        <v>76</v>
      </c>
      <c r="H21" s="4"/>
      <c r="I21" s="4"/>
      <c r="J21" s="4">
        <v>4.76</v>
      </c>
      <c r="K21" s="4">
        <v>2</v>
      </c>
      <c r="L21" s="4"/>
      <c r="M21" s="4" t="s">
        <v>18</v>
      </c>
      <c r="N21" s="4">
        <v>50</v>
      </c>
      <c r="O21" s="3">
        <f>=B21*(N21*F21/10000)*J21</f>
      </c>
    </row>
    <row r="22" spans="1:15" x14ac:dyDescent="0.25">
      <c r="A22" s="2" t="s">
        <v>77</v>
      </c>
      <c r="B22" s="4">
        <v>1</v>
      </c>
      <c r="C22" s="4" t="s">
        <v>27</v>
      </c>
      <c r="D22" s="4"/>
      <c r="E22" s="4"/>
      <c r="F22" s="4">
        <v>20</v>
      </c>
      <c r="G22" s="4" t="s">
        <v>78</v>
      </c>
      <c r="H22" s="4"/>
      <c r="I22" s="4"/>
      <c r="J22" s="4">
        <v>4.76</v>
      </c>
      <c r="K22" s="4">
        <v>5</v>
      </c>
      <c r="L22" s="4"/>
      <c r="M22" s="4" t="s">
        <v>18</v>
      </c>
      <c r="N22" s="4">
        <v>50</v>
      </c>
      <c r="O22" s="3">
        <f>=B22*(N22*F22/10000)*J22</f>
      </c>
    </row>
    <row r="23" spans="1:15" x14ac:dyDescent="0.25">
      <c r="A23" s="2" t="s">
        <v>79</v>
      </c>
      <c r="B23" s="4">
        <v>1</v>
      </c>
      <c r="C23" s="4" t="s">
        <v>27</v>
      </c>
      <c r="D23" s="4"/>
      <c r="E23" s="4"/>
      <c r="F23" s="4">
        <v>123</v>
      </c>
      <c r="G23" s="4" t="s">
        <v>80</v>
      </c>
      <c r="H23" s="4"/>
      <c r="I23" s="4"/>
      <c r="J23" s="4">
        <v>4.76</v>
      </c>
      <c r="K23" s="4"/>
      <c r="L23" s="4"/>
      <c r="M23" s="4" t="s">
        <v>18</v>
      </c>
      <c r="N23" s="4">
        <v>305</v>
      </c>
      <c r="O23" s="3">
        <f>=B23*(N23*F23/10000)*J23</f>
      </c>
    </row>
    <row r="24" spans="1:15" x14ac:dyDescent="0.25">
      <c r="A24" s="2" t="s">
        <v>81</v>
      </c>
      <c r="B24" s="4">
        <v>1</v>
      </c>
      <c r="C24" s="4" t="s">
        <v>27</v>
      </c>
      <c r="D24" s="4"/>
      <c r="E24" s="4"/>
      <c r="F24" s="4">
        <v>100</v>
      </c>
      <c r="G24" s="4" t="s">
        <v>82</v>
      </c>
      <c r="H24" s="4"/>
      <c r="I24" s="4"/>
      <c r="J24" s="4">
        <v>4.76</v>
      </c>
      <c r="K24" s="4"/>
      <c r="L24" s="4"/>
      <c r="M24" s="4" t="s">
        <v>18</v>
      </c>
      <c r="N24" s="4">
        <v>27</v>
      </c>
      <c r="O24" s="3">
        <f>=B24*(N24*F24/10000)*J24</f>
      </c>
    </row>
    <row r="25" spans="1:15" x14ac:dyDescent="0.25">
      <c r="A25" s="2" t="s">
        <v>83</v>
      </c>
      <c r="B25" s="4">
        <v>1</v>
      </c>
      <c r="C25" s="4" t="s">
        <v>27</v>
      </c>
      <c r="D25" s="4"/>
      <c r="E25" s="4"/>
      <c r="F25" s="4">
        <v>22</v>
      </c>
      <c r="G25" s="4" t="s">
        <v>84</v>
      </c>
      <c r="H25" s="4"/>
      <c r="I25" s="4"/>
      <c r="J25" s="4">
        <v>4.76</v>
      </c>
      <c r="K25" s="4">
        <v>5</v>
      </c>
      <c r="L25" s="4"/>
      <c r="M25" s="4" t="s">
        <v>18</v>
      </c>
      <c r="N25" s="4">
        <v>59</v>
      </c>
      <c r="O25" s="3">
        <f>=B25*(N25*F25/10000)*J25</f>
      </c>
    </row>
    <row r="26" spans="1:15" x14ac:dyDescent="0.25">
      <c r="A26" s="2" t="s">
        <v>85</v>
      </c>
      <c r="B26" s="4">
        <v>3</v>
      </c>
      <c r="C26" s="4" t="s">
        <v>27</v>
      </c>
      <c r="D26" s="4"/>
      <c r="E26" s="4"/>
      <c r="F26" s="4">
        <v>17.5</v>
      </c>
      <c r="G26" s="4" t="s">
        <v>86</v>
      </c>
      <c r="H26" s="4"/>
      <c r="I26" s="4"/>
      <c r="J26" s="4">
        <v>4.76</v>
      </c>
      <c r="K26" s="4">
        <v>5</v>
      </c>
      <c r="L26" s="4"/>
      <c r="M26" s="4" t="s">
        <v>18</v>
      </c>
      <c r="N26" s="4">
        <v>60</v>
      </c>
      <c r="O26" s="3">
        <f>=B26*(N26*F26/10000)*J26</f>
      </c>
    </row>
    <row r="27" spans="1:15" x14ac:dyDescent="0.25">
      <c r="A27" s="2" t="s">
        <v>87</v>
      </c>
      <c r="B27" s="4">
        <v>2</v>
      </c>
      <c r="C27" s="4" t="s">
        <v>27</v>
      </c>
      <c r="D27" s="4"/>
      <c r="E27" s="4"/>
      <c r="F27" s="4">
        <v>38</v>
      </c>
      <c r="G27" s="4" t="s">
        <v>88</v>
      </c>
      <c r="H27" s="4"/>
      <c r="I27" s="4"/>
      <c r="J27" s="4">
        <v>4.76</v>
      </c>
      <c r="K27" s="4">
        <v>8</v>
      </c>
      <c r="L27" s="4"/>
      <c r="M27" s="4" t="s">
        <v>18</v>
      </c>
      <c r="N27" s="4">
        <v>60</v>
      </c>
      <c r="O27" s="3">
        <f>=B27*(N27*F27/10000)*J27</f>
      </c>
    </row>
    <row r="28" spans="1:15" x14ac:dyDescent="0.25">
      <c r="A28" s="2" t="s">
        <v>89</v>
      </c>
      <c r="B28" s="4">
        <v>2</v>
      </c>
      <c r="C28" s="4" t="s">
        <v>27</v>
      </c>
      <c r="D28" s="4"/>
      <c r="E28" s="4"/>
      <c r="F28" s="4">
        <v>60</v>
      </c>
      <c r="G28" s="4" t="s">
        <v>90</v>
      </c>
      <c r="H28" s="4"/>
      <c r="I28" s="4"/>
      <c r="J28" s="4">
        <v>4.76</v>
      </c>
      <c r="K28" s="4">
        <v>2</v>
      </c>
      <c r="L28" s="4"/>
      <c r="M28" s="4" t="s">
        <v>18</v>
      </c>
      <c r="N28" s="4">
        <v>60</v>
      </c>
      <c r="O28" s="3">
        <f>=B28*(N28*F28/10000)*J28</f>
      </c>
    </row>
    <row r="29" spans="1:15" x14ac:dyDescent="0.25">
      <c r="A29" s="2" t="s">
        <v>91</v>
      </c>
      <c r="B29" s="4">
        <v>1</v>
      </c>
      <c r="C29" s="4" t="s">
        <v>27</v>
      </c>
      <c r="D29" s="4"/>
      <c r="E29" s="4"/>
      <c r="F29" s="4">
        <v>108.5</v>
      </c>
      <c r="G29" s="4" t="s">
        <v>92</v>
      </c>
      <c r="H29" s="4"/>
      <c r="I29" s="4"/>
      <c r="J29" s="4">
        <v>4.76</v>
      </c>
      <c r="K29" s="4"/>
      <c r="L29" s="4"/>
      <c r="M29" s="4" t="s">
        <v>18</v>
      </c>
      <c r="N29" s="4">
        <v>22.5</v>
      </c>
      <c r="O29" s="3">
        <f>=B29*(N29*F29/10000)*J29</f>
      </c>
    </row>
    <row r="30" spans="1:15" x14ac:dyDescent="0.25">
      <c r="A30" s="2" t="s">
        <v>93</v>
      </c>
      <c r="B30" s="4">
        <v>1</v>
      </c>
      <c r="C30" s="4" t="s">
        <v>27</v>
      </c>
      <c r="D30" s="4"/>
      <c r="E30" s="4"/>
      <c r="F30" s="4">
        <v>51</v>
      </c>
      <c r="G30" s="4" t="s">
        <v>94</v>
      </c>
      <c r="H30" s="4"/>
      <c r="I30" s="4"/>
      <c r="J30" s="4">
        <v>4.76</v>
      </c>
      <c r="K30" s="4"/>
      <c r="L30" s="4"/>
      <c r="M30" s="4" t="s">
        <v>18</v>
      </c>
      <c r="N30" s="4">
        <v>80</v>
      </c>
      <c r="O30" s="3">
        <f>=B30*(N30*F30/10000)*J30</f>
      </c>
    </row>
    <row r="31" spans="1:15" x14ac:dyDescent="0.25">
      <c r="A31" s="2" t="s">
        <v>95</v>
      </c>
      <c r="B31" s="4">
        <v>1</v>
      </c>
      <c r="C31" s="4" t="s">
        <v>27</v>
      </c>
      <c r="D31" s="4"/>
      <c r="E31" s="4"/>
      <c r="F31" s="4">
        <v>37</v>
      </c>
      <c r="G31" s="4" t="s">
        <v>96</v>
      </c>
      <c r="H31" s="4"/>
      <c r="I31" s="4"/>
      <c r="J31" s="4">
        <v>4.76</v>
      </c>
      <c r="K31" s="4">
        <v>5</v>
      </c>
      <c r="L31" s="4"/>
      <c r="M31" s="4" t="s">
        <v>18</v>
      </c>
      <c r="N31" s="4">
        <v>48.5</v>
      </c>
      <c r="O31" s="3">
        <f>=B31*(N31*F31/10000)*J31</f>
      </c>
    </row>
    <row r="32" spans="1:15" x14ac:dyDescent="0.25">
      <c r="A32" s="2" t="s">
        <v>97</v>
      </c>
      <c r="B32" s="4">
        <v>2</v>
      </c>
      <c r="C32" s="4" t="s">
        <v>27</v>
      </c>
      <c r="D32" s="4"/>
      <c r="E32" s="4"/>
      <c r="F32" s="4">
        <v>35</v>
      </c>
      <c r="G32" s="4" t="s">
        <v>98</v>
      </c>
      <c r="H32" s="4"/>
      <c r="I32" s="4"/>
      <c r="J32" s="4">
        <v>4.76</v>
      </c>
      <c r="K32" s="4">
        <v>3</v>
      </c>
      <c r="L32" s="4"/>
      <c r="M32" s="4" t="s">
        <v>18</v>
      </c>
      <c r="N32" s="4">
        <v>72</v>
      </c>
      <c r="O32" s="3">
        <f>=B32*(N32*F32/10000)*J32</f>
      </c>
    </row>
    <row r="33" spans="1:15" x14ac:dyDescent="0.25">
      <c r="A33" s="2" t="s">
        <v>99</v>
      </c>
      <c r="B33" s="4">
        <v>1</v>
      </c>
      <c r="C33" s="4" t="s">
        <v>27</v>
      </c>
      <c r="D33" s="4"/>
      <c r="E33" s="4"/>
      <c r="F33" s="4">
        <v>24</v>
      </c>
      <c r="G33" s="4" t="s">
        <v>100</v>
      </c>
      <c r="H33" s="4"/>
      <c r="I33" s="4"/>
      <c r="J33" s="4">
        <v>4.76</v>
      </c>
      <c r="K33" s="4">
        <v>3</v>
      </c>
      <c r="L33" s="4"/>
      <c r="M33" s="4" t="s">
        <v>18</v>
      </c>
      <c r="N33" s="4">
        <v>64</v>
      </c>
      <c r="O33" s="3">
        <f>=B33*(N33*F33/10000)*J33</f>
      </c>
    </row>
    <row r="34" spans="1:15" x14ac:dyDescent="0.25">
      <c r="A34" s="2" t="s">
        <v>101</v>
      </c>
      <c r="B34" s="4">
        <v>1</v>
      </c>
      <c r="C34" s="4"/>
      <c r="D34" s="4">
        <v>0</v>
      </c>
      <c r="E34" s="4" t="s">
        <v>102</v>
      </c>
      <c r="F34" s="4">
        <v>0</v>
      </c>
      <c r="G34" s="4" t="s">
        <v>103</v>
      </c>
      <c r="H34" s="4">
        <v>0</v>
      </c>
      <c r="I34" s="4">
        <v>0</v>
      </c>
      <c r="J34" s="4">
        <v>0</v>
      </c>
      <c r="K34" s="4">
        <v>3</v>
      </c>
      <c r="L34" s="4">
        <v>0</v>
      </c>
      <c r="M34" s="4" t="s">
        <v>18</v>
      </c>
      <c r="N34" s="4">
        <v>0</v>
      </c>
      <c r="O34" s="3">
        <f>=0</f>
      </c>
    </row>
    <row r="35" spans="1:15" x14ac:dyDescent="0.25">
      <c r="A35" s="2" t="s">
        <v>104</v>
      </c>
      <c r="B35" s="4">
        <v>1</v>
      </c>
      <c r="C35" s="4"/>
      <c r="D35" s="4">
        <v>0</v>
      </c>
      <c r="E35" s="4" t="s">
        <v>102</v>
      </c>
      <c r="F35" s="4">
        <v>0</v>
      </c>
      <c r="G35" s="4" t="s">
        <v>105</v>
      </c>
      <c r="H35" s="4">
        <v>0</v>
      </c>
      <c r="I35" s="4">
        <v>0</v>
      </c>
      <c r="J35" s="4">
        <v>0</v>
      </c>
      <c r="K35" s="4">
        <v>5</v>
      </c>
      <c r="L35" s="4">
        <v>0</v>
      </c>
      <c r="M35" s="4" t="s">
        <v>18</v>
      </c>
      <c r="N35" s="4">
        <v>0</v>
      </c>
      <c r="O35" s="3">
        <f>=0</f>
      </c>
    </row>
    <row r="36" spans="1:15" x14ac:dyDescent="0.25">
      <c r="A36" s="2" t="s">
        <v>106</v>
      </c>
      <c r="B36" s="4">
        <v>1</v>
      </c>
      <c r="C36" s="4"/>
      <c r="D36" s="4">
        <v>0</v>
      </c>
      <c r="E36" s="4" t="s">
        <v>102</v>
      </c>
      <c r="F36" s="4">
        <v>0</v>
      </c>
      <c r="G36" s="4" t="s">
        <v>107</v>
      </c>
      <c r="H36" s="4">
        <v>0</v>
      </c>
      <c r="I36" s="4">
        <v>0</v>
      </c>
      <c r="J36" s="4">
        <v>0</v>
      </c>
      <c r="K36" s="4">
        <v>3</v>
      </c>
      <c r="L36" s="4">
        <v>0</v>
      </c>
      <c r="M36" s="4" t="s">
        <v>102</v>
      </c>
      <c r="N36" s="4">
        <v>0</v>
      </c>
      <c r="O36" s="3">
        <f>=0</f>
      </c>
    </row>
    <row r="37" spans="1:15" x14ac:dyDescent="0.25">
      <c r="A37" s="2" t="s">
        <v>108</v>
      </c>
      <c r="B37" s="4">
        <v>1</v>
      </c>
      <c r="C37" s="4"/>
      <c r="D37" s="4">
        <v>0</v>
      </c>
      <c r="E37" s="4" t="s">
        <v>102</v>
      </c>
      <c r="F37" s="4">
        <v>0</v>
      </c>
      <c r="G37" s="4" t="s">
        <v>109</v>
      </c>
      <c r="H37" s="4">
        <v>0</v>
      </c>
      <c r="I37" s="4">
        <v>0</v>
      </c>
      <c r="J37" s="4">
        <v>0</v>
      </c>
      <c r="K37" s="4">
        <v>3</v>
      </c>
      <c r="L37" s="4">
        <v>0</v>
      </c>
      <c r="M37" s="4" t="s">
        <v>102</v>
      </c>
      <c r="N37" s="4">
        <v>0</v>
      </c>
      <c r="O37" s="3">
        <f>=0</f>
      </c>
    </row>
    <row r="38" spans="1:15" x14ac:dyDescent="0.25">
      <c r="A38" s="2" t="s">
        <v>110</v>
      </c>
      <c r="B38" s="4">
        <v>1</v>
      </c>
      <c r="C38" s="4"/>
      <c r="D38" s="4">
        <v>0</v>
      </c>
      <c r="E38" s="4" t="s">
        <v>102</v>
      </c>
      <c r="F38" s="4">
        <v>0</v>
      </c>
      <c r="G38" s="4" t="s">
        <v>111</v>
      </c>
      <c r="H38" s="4">
        <v>0</v>
      </c>
      <c r="I38" s="4">
        <v>0</v>
      </c>
      <c r="J38" s="4">
        <v>0</v>
      </c>
      <c r="K38" s="4">
        <v>3</v>
      </c>
      <c r="L38" s="4">
        <v>0</v>
      </c>
      <c r="M38" s="4" t="s">
        <v>102</v>
      </c>
      <c r="N38" s="4">
        <v>0</v>
      </c>
      <c r="O38" s="3">
        <f>=0</f>
      </c>
    </row>
    <row r="39" spans="1:15" x14ac:dyDescent="0.25">
      <c r="A39" s="2" t="s">
        <v>112</v>
      </c>
      <c r="B39" s="4">
        <v>1</v>
      </c>
      <c r="C39" s="4"/>
      <c r="D39" s="4">
        <v>0</v>
      </c>
      <c r="E39" s="4" t="s">
        <v>102</v>
      </c>
      <c r="F39" s="4">
        <v>0</v>
      </c>
      <c r="G39" s="4" t="s">
        <v>113</v>
      </c>
      <c r="H39" s="4">
        <v>0</v>
      </c>
      <c r="I39" s="4">
        <v>0</v>
      </c>
      <c r="J39" s="4">
        <v>0</v>
      </c>
      <c r="K39" s="4">
        <v>3</v>
      </c>
      <c r="L39" s="4">
        <v>0</v>
      </c>
      <c r="M39" s="4" t="s">
        <v>102</v>
      </c>
      <c r="N39" s="4">
        <v>0</v>
      </c>
      <c r="O39" s="3">
        <f>=0</f>
      </c>
    </row>
    <row r="40" spans="1:15" x14ac:dyDescent="0.25">
      <c r="A40" s="2" t="s">
        <v>114</v>
      </c>
      <c r="B40" s="4">
        <v>1</v>
      </c>
      <c r="C40" s="4"/>
      <c r="D40" s="4">
        <v>0</v>
      </c>
      <c r="E40" s="4" t="s">
        <v>102</v>
      </c>
      <c r="F40" s="4">
        <v>0</v>
      </c>
      <c r="G40" s="4" t="s">
        <v>115</v>
      </c>
      <c r="H40" s="4">
        <v>0</v>
      </c>
      <c r="I40" s="4">
        <v>0</v>
      </c>
      <c r="J40" s="4">
        <v>0</v>
      </c>
      <c r="K40" s="4">
        <v>3</v>
      </c>
      <c r="L40" s="4">
        <v>0</v>
      </c>
      <c r="M40" s="4" t="s">
        <v>102</v>
      </c>
      <c r="N40" s="4">
        <v>0</v>
      </c>
      <c r="O40" s="3">
        <f>=0</f>
      </c>
    </row>
    <row r="41" spans="1:15" x14ac:dyDescent="0.25">
      <c r="A41" s="2" t="s">
        <v>116</v>
      </c>
      <c r="B41" s="4">
        <v>1</v>
      </c>
      <c r="C41" s="4"/>
      <c r="D41" s="4">
        <v>0</v>
      </c>
      <c r="E41" s="4" t="s">
        <v>102</v>
      </c>
      <c r="F41" s="4">
        <v>0</v>
      </c>
      <c r="G41" s="4" t="s">
        <v>117</v>
      </c>
      <c r="H41" s="4">
        <v>0</v>
      </c>
      <c r="I41" s="4">
        <v>0</v>
      </c>
      <c r="J41" s="4">
        <v>0</v>
      </c>
      <c r="K41" s="4">
        <v>3</v>
      </c>
      <c r="L41" s="4">
        <v>0</v>
      </c>
      <c r="M41" s="4" t="s">
        <v>18</v>
      </c>
      <c r="N41" s="4">
        <v>0</v>
      </c>
      <c r="O41" s="3">
        <f>=0</f>
      </c>
    </row>
    <row r="42" spans="1:15" x14ac:dyDescent="0.25">
      <c r="A42" s="2" t="s">
        <v>118</v>
      </c>
      <c r="B42" s="4">
        <v>1</v>
      </c>
      <c r="C42" s="4"/>
      <c r="D42" s="4">
        <v>0</v>
      </c>
      <c r="E42" s="4" t="s">
        <v>102</v>
      </c>
      <c r="F42" s="4">
        <v>0</v>
      </c>
      <c r="G42" s="4" t="s">
        <v>119</v>
      </c>
      <c r="H42" s="4">
        <v>0</v>
      </c>
      <c r="I42" s="4">
        <v>0</v>
      </c>
      <c r="J42" s="4">
        <v>0</v>
      </c>
      <c r="K42" s="4">
        <v>3</v>
      </c>
      <c r="L42" s="4">
        <v>0</v>
      </c>
      <c r="M42" s="4" t="s">
        <v>18</v>
      </c>
      <c r="N42" s="4">
        <v>0</v>
      </c>
      <c r="O42" s="3">
        <f>=0</f>
      </c>
    </row>
    <row r="43" spans="1:15" x14ac:dyDescent="0.25">
      <c r="A43" s="2" t="s">
        <v>120</v>
      </c>
      <c r="B43" s="4">
        <v>1</v>
      </c>
      <c r="C43" s="4"/>
      <c r="D43" s="4">
        <v>0</v>
      </c>
      <c r="E43" s="4" t="s">
        <v>102</v>
      </c>
      <c r="F43" s="4">
        <v>0</v>
      </c>
      <c r="G43" s="4" t="s">
        <v>121</v>
      </c>
      <c r="H43" s="4">
        <v>0</v>
      </c>
      <c r="I43" s="4">
        <v>0</v>
      </c>
      <c r="J43" s="4">
        <v>0</v>
      </c>
      <c r="K43" s="4">
        <v>3</v>
      </c>
      <c r="L43" s="4">
        <v>0</v>
      </c>
      <c r="M43" s="4" t="s">
        <v>18</v>
      </c>
      <c r="N43" s="4">
        <v>0</v>
      </c>
      <c r="O43" s="3">
        <f>=0</f>
      </c>
    </row>
    <row r="44" spans="1:15" x14ac:dyDescent="0.25">
      <c r="A44" s="2" t="s">
        <v>122</v>
      </c>
      <c r="B44" s="4">
        <v>1</v>
      </c>
      <c r="C44" s="4"/>
      <c r="D44" s="4">
        <v>0</v>
      </c>
      <c r="E44" s="4" t="s">
        <v>102</v>
      </c>
      <c r="F44" s="4">
        <v>0</v>
      </c>
      <c r="G44" s="4" t="s">
        <v>123</v>
      </c>
      <c r="H44" s="4">
        <v>0</v>
      </c>
      <c r="I44" s="4">
        <v>0</v>
      </c>
      <c r="J44" s="4">
        <v>0</v>
      </c>
      <c r="K44" s="4">
        <v>3</v>
      </c>
      <c r="L44" s="4">
        <v>0</v>
      </c>
      <c r="M44" s="4" t="s">
        <v>102</v>
      </c>
      <c r="N44" s="4">
        <v>0</v>
      </c>
      <c r="O44" s="3">
        <f>=0</f>
      </c>
    </row>
    <row r="45" spans="1:15" x14ac:dyDescent="0.25">
      <c r="A45" s="2" t="s">
        <v>124</v>
      </c>
      <c r="B45" s="4">
        <v>1</v>
      </c>
      <c r="C45" s="4"/>
      <c r="D45" s="4">
        <v>0</v>
      </c>
      <c r="E45" s="4" t="s">
        <v>102</v>
      </c>
      <c r="F45" s="4">
        <v>0</v>
      </c>
      <c r="G45" s="4" t="s">
        <v>125</v>
      </c>
      <c r="H45" s="4">
        <v>0</v>
      </c>
      <c r="I45" s="4">
        <v>0</v>
      </c>
      <c r="J45" s="4">
        <v>0</v>
      </c>
      <c r="K45" s="4">
        <v>3</v>
      </c>
      <c r="L45" s="4">
        <v>0</v>
      </c>
      <c r="M45" s="4" t="s">
        <v>18</v>
      </c>
      <c r="N45" s="4">
        <v>0</v>
      </c>
      <c r="O45" s="3">
        <f>=0</f>
      </c>
    </row>
    <row r="46" spans="1:15" x14ac:dyDescent="0.25">
      <c r="A46" s="2" t="s">
        <v>126</v>
      </c>
      <c r="B46" s="4">
        <v>1</v>
      </c>
      <c r="C46" s="4"/>
      <c r="D46" s="4">
        <v>0</v>
      </c>
      <c r="E46" s="4" t="s">
        <v>102</v>
      </c>
      <c r="F46" s="4">
        <v>0</v>
      </c>
      <c r="G46" s="4" t="s">
        <v>127</v>
      </c>
      <c r="H46" s="4">
        <v>0</v>
      </c>
      <c r="I46" s="4">
        <v>0</v>
      </c>
      <c r="J46" s="4">
        <v>0</v>
      </c>
      <c r="K46" s="4">
        <v>3</v>
      </c>
      <c r="L46" s="4">
        <v>0</v>
      </c>
      <c r="M46" s="4" t="s">
        <v>18</v>
      </c>
      <c r="N46" s="4">
        <v>0</v>
      </c>
      <c r="O46" s="3">
        <f>=0</f>
      </c>
    </row>
    <row r="47" spans="1:15" x14ac:dyDescent="0.25">
      <c r="A47" s="2" t="s">
        <v>128</v>
      </c>
      <c r="B47" s="4">
        <v>1</v>
      </c>
      <c r="C47" s="4"/>
      <c r="D47" s="4">
        <v>0</v>
      </c>
      <c r="E47" s="4" t="s">
        <v>102</v>
      </c>
      <c r="F47" s="4">
        <v>0</v>
      </c>
      <c r="G47" s="4" t="s">
        <v>129</v>
      </c>
      <c r="H47" s="4">
        <v>0</v>
      </c>
      <c r="I47" s="4">
        <v>0</v>
      </c>
      <c r="J47" s="4">
        <v>0</v>
      </c>
      <c r="K47" s="4">
        <v>3</v>
      </c>
      <c r="L47" s="4">
        <v>0</v>
      </c>
      <c r="M47" s="4" t="s">
        <v>18</v>
      </c>
      <c r="N47" s="4">
        <v>0</v>
      </c>
      <c r="O47" s="3">
        <f>=0</f>
      </c>
    </row>
    <row r="48" spans="1:15" x14ac:dyDescent="0.25">
      <c r="A48" s="2" t="s">
        <v>130</v>
      </c>
      <c r="B48" s="4">
        <v>1</v>
      </c>
      <c r="C48" s="4"/>
      <c r="D48" s="4">
        <v>0</v>
      </c>
      <c r="E48" s="4" t="s">
        <v>102</v>
      </c>
      <c r="F48" s="4">
        <v>0</v>
      </c>
      <c r="G48" s="4" t="s">
        <v>131</v>
      </c>
      <c r="H48" s="4">
        <v>0</v>
      </c>
      <c r="I48" s="4">
        <v>0</v>
      </c>
      <c r="J48" s="4">
        <v>0</v>
      </c>
      <c r="K48" s="4">
        <v>3</v>
      </c>
      <c r="L48" s="4">
        <v>0</v>
      </c>
      <c r="M48" s="4" t="s">
        <v>18</v>
      </c>
      <c r="N48" s="4">
        <v>0</v>
      </c>
      <c r="O48" s="3">
        <f>=0</f>
      </c>
    </row>
    <row r="49" spans="1:15" x14ac:dyDescent="0.25">
      <c r="A49" s="2" t="s">
        <v>132</v>
      </c>
      <c r="B49" s="4">
        <v>1</v>
      </c>
      <c r="C49" s="4"/>
      <c r="D49" s="4">
        <v>0</v>
      </c>
      <c r="E49" s="4" t="s">
        <v>102</v>
      </c>
      <c r="F49" s="4">
        <v>0</v>
      </c>
      <c r="G49" s="4" t="s">
        <v>133</v>
      </c>
      <c r="H49" s="4">
        <v>0</v>
      </c>
      <c r="I49" s="4">
        <v>0</v>
      </c>
      <c r="J49" s="4">
        <v>0</v>
      </c>
      <c r="K49" s="4">
        <v>3</v>
      </c>
      <c r="L49" s="4">
        <v>0</v>
      </c>
      <c r="M49" s="4" t="s">
        <v>18</v>
      </c>
      <c r="N49" s="4">
        <v>0</v>
      </c>
      <c r="O49" s="3">
        <f>=0</f>
      </c>
    </row>
    <row r="50" spans="1:15" x14ac:dyDescent="0.25">
      <c r="A50" s="2" t="s">
        <v>134</v>
      </c>
      <c r="B50" s="4">
        <v>1</v>
      </c>
      <c r="C50" s="4"/>
      <c r="D50" s="4">
        <v>0</v>
      </c>
      <c r="E50" s="4" t="s">
        <v>102</v>
      </c>
      <c r="F50" s="4">
        <v>0</v>
      </c>
      <c r="G50" s="4" t="s">
        <v>135</v>
      </c>
      <c r="H50" s="4">
        <v>0</v>
      </c>
      <c r="I50" s="4">
        <v>0</v>
      </c>
      <c r="J50" s="4">
        <v>0</v>
      </c>
      <c r="K50" s="4">
        <v>3</v>
      </c>
      <c r="L50" s="4">
        <v>0</v>
      </c>
      <c r="M50" s="4" t="s">
        <v>18</v>
      </c>
      <c r="N50" s="4">
        <v>0</v>
      </c>
      <c r="O50" s="3">
        <f>=0</f>
      </c>
    </row>
    <row r="51" spans="1:15" x14ac:dyDescent="0.25">
      <c r="A51" s="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5" t="s">
        <v>25</v>
      </c>
      <c r="O51" s="6">
        <f>=SUM(O2:O50)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136</v>
      </c>
      <c r="B2" s="4">
        <v>1</v>
      </c>
      <c r="C2" s="4" t="s">
        <v>27</v>
      </c>
      <c r="D2" s="4"/>
      <c r="E2" s="4"/>
      <c r="F2" s="4">
        <v>20</v>
      </c>
      <c r="G2" s="4" t="s">
        <v>137</v>
      </c>
      <c r="H2" s="4"/>
      <c r="I2" s="4"/>
      <c r="J2" s="4">
        <v>6.08</v>
      </c>
      <c r="K2" s="4"/>
      <c r="L2" s="4"/>
      <c r="M2" s="4" t="s">
        <v>18</v>
      </c>
      <c r="N2" s="4">
        <v>50</v>
      </c>
      <c r="O2" s="3">
        <f>=B2*(N2*F2/10000)*J2</f>
      </c>
    </row>
    <row r="3" spans="1:15" x14ac:dyDescent="0.25">
      <c r="A3" s="2" t="s">
        <v>138</v>
      </c>
      <c r="B3" s="4">
        <v>1</v>
      </c>
      <c r="C3" s="4" t="s">
        <v>27</v>
      </c>
      <c r="D3" s="4"/>
      <c r="E3" s="4"/>
      <c r="F3" s="4">
        <v>20</v>
      </c>
      <c r="G3" s="4" t="s">
        <v>139</v>
      </c>
      <c r="H3" s="4"/>
      <c r="I3" s="4"/>
      <c r="J3" s="4">
        <v>6.08</v>
      </c>
      <c r="K3" s="4"/>
      <c r="L3" s="4"/>
      <c r="M3" s="4" t="s">
        <v>18</v>
      </c>
      <c r="N3" s="4">
        <v>122.5</v>
      </c>
      <c r="O3" s="3">
        <f>=B3*(N3*F3/10000)*J3</f>
      </c>
    </row>
    <row r="4" spans="1:15" x14ac:dyDescent="0.25">
      <c r="A4" s="2" t="s">
        <v>140</v>
      </c>
      <c r="B4" s="4">
        <v>1</v>
      </c>
      <c r="C4" s="4" t="s">
        <v>27</v>
      </c>
      <c r="D4" s="4"/>
      <c r="E4" s="4"/>
      <c r="F4" s="4">
        <v>29</v>
      </c>
      <c r="G4" s="4" t="s">
        <v>141</v>
      </c>
      <c r="H4" s="4"/>
      <c r="I4" s="4"/>
      <c r="J4" s="4">
        <v>6.08</v>
      </c>
      <c r="K4" s="4"/>
      <c r="L4" s="4"/>
      <c r="M4" s="4" t="s">
        <v>18</v>
      </c>
      <c r="N4" s="4">
        <v>34</v>
      </c>
      <c r="O4" s="3">
        <f>=B4*(N4*F4/10000)*J4</f>
      </c>
    </row>
    <row r="5" spans="1:15" x14ac:dyDescent="0.25">
      <c r="A5" s="2" t="s">
        <v>142</v>
      </c>
      <c r="B5" s="4">
        <v>1</v>
      </c>
      <c r="C5" s="4" t="s">
        <v>27</v>
      </c>
      <c r="D5" s="4"/>
      <c r="E5" s="4"/>
      <c r="F5" s="4">
        <v>29</v>
      </c>
      <c r="G5" s="4" t="s">
        <v>143</v>
      </c>
      <c r="H5" s="4"/>
      <c r="I5" s="4"/>
      <c r="J5" s="4">
        <v>6.08</v>
      </c>
      <c r="K5" s="4"/>
      <c r="L5" s="4"/>
      <c r="M5" s="4" t="s">
        <v>18</v>
      </c>
      <c r="N5" s="4">
        <v>32</v>
      </c>
      <c r="O5" s="3">
        <f>=B5*(N5*F5/10000)*J5</f>
      </c>
    </row>
    <row r="6" spans="1:15" x14ac:dyDescent="0.25">
      <c r="A6" s="2" t="s">
        <v>144</v>
      </c>
      <c r="B6" s="4">
        <v>2</v>
      </c>
      <c r="C6" s="4" t="s">
        <v>27</v>
      </c>
      <c r="D6" s="4"/>
      <c r="E6" s="4"/>
      <c r="F6" s="4">
        <v>29</v>
      </c>
      <c r="G6" s="4" t="s">
        <v>145</v>
      </c>
      <c r="H6" s="4"/>
      <c r="I6" s="4"/>
      <c r="J6" s="4">
        <v>6.08</v>
      </c>
      <c r="K6" s="4"/>
      <c r="L6" s="4"/>
      <c r="M6" s="4" t="s">
        <v>18</v>
      </c>
      <c r="N6" s="4">
        <v>42</v>
      </c>
      <c r="O6" s="3">
        <f>=B6*(N6*F6/10000)*J6</f>
      </c>
    </row>
    <row r="7" spans="1:15" x14ac:dyDescent="0.25">
      <c r="A7" s="2" t="s">
        <v>146</v>
      </c>
      <c r="B7" s="4">
        <v>2</v>
      </c>
      <c r="C7" s="4" t="s">
        <v>27</v>
      </c>
      <c r="D7" s="4"/>
      <c r="E7" s="4"/>
      <c r="F7" s="4">
        <v>22</v>
      </c>
      <c r="G7" s="4" t="s">
        <v>147</v>
      </c>
      <c r="H7" s="4"/>
      <c r="I7" s="4"/>
      <c r="J7" s="4">
        <v>6.08</v>
      </c>
      <c r="K7" s="4"/>
      <c r="L7" s="4"/>
      <c r="M7" s="4" t="s">
        <v>18</v>
      </c>
      <c r="N7" s="4">
        <v>59</v>
      </c>
      <c r="O7" s="3">
        <f>=B7*(N7*F7/10000)*J7</f>
      </c>
    </row>
    <row r="8" spans="1:15" x14ac:dyDescent="0.25">
      <c r="A8" s="2" t="s">
        <v>148</v>
      </c>
      <c r="B8" s="4">
        <v>1</v>
      </c>
      <c r="C8" s="4" t="s">
        <v>27</v>
      </c>
      <c r="D8" s="4"/>
      <c r="E8" s="4"/>
      <c r="F8" s="4">
        <v>20</v>
      </c>
      <c r="G8" s="4" t="s">
        <v>149</v>
      </c>
      <c r="H8" s="4"/>
      <c r="I8" s="4"/>
      <c r="J8" s="4">
        <v>6.08</v>
      </c>
      <c r="K8" s="4"/>
      <c r="L8" s="4"/>
      <c r="M8" s="4" t="s">
        <v>18</v>
      </c>
      <c r="N8" s="4">
        <v>50</v>
      </c>
      <c r="O8" s="3">
        <f>=B8*(N8*F8/10000)*J8</f>
      </c>
    </row>
    <row r="9" spans="1:15" x14ac:dyDescent="0.25">
      <c r="A9" s="2" t="s">
        <v>150</v>
      </c>
      <c r="B9" s="4">
        <v>2</v>
      </c>
      <c r="C9" s="4" t="s">
        <v>27</v>
      </c>
      <c r="D9" s="4"/>
      <c r="E9" s="4"/>
      <c r="F9" s="4">
        <v>35</v>
      </c>
      <c r="G9" s="4" t="s">
        <v>151</v>
      </c>
      <c r="H9" s="4"/>
      <c r="I9" s="4"/>
      <c r="J9" s="4">
        <v>6.08</v>
      </c>
      <c r="K9" s="4">
        <v>1</v>
      </c>
      <c r="L9" s="4"/>
      <c r="M9" s="4" t="s">
        <v>18</v>
      </c>
      <c r="N9" s="4">
        <v>45</v>
      </c>
      <c r="O9" s="3">
        <f>=B9*(N9*F9/10000)*J9</f>
      </c>
    </row>
    <row r="10" spans="1:15" x14ac:dyDescent="0.25">
      <c r="A10" s="2" t="s">
        <v>152</v>
      </c>
      <c r="B10" s="4">
        <v>1</v>
      </c>
      <c r="C10" s="4" t="s">
        <v>27</v>
      </c>
      <c r="D10" s="4"/>
      <c r="E10" s="4"/>
      <c r="F10" s="4">
        <v>50</v>
      </c>
      <c r="G10" s="4" t="s">
        <v>153</v>
      </c>
      <c r="H10" s="4"/>
      <c r="I10" s="4"/>
      <c r="J10" s="4">
        <v>6.08</v>
      </c>
      <c r="K10" s="4">
        <v>1</v>
      </c>
      <c r="L10" s="4"/>
      <c r="M10" s="4" t="s">
        <v>18</v>
      </c>
      <c r="N10" s="4">
        <v>22.5</v>
      </c>
      <c r="O10" s="3">
        <f>=B10*(N10*F10/10000)*J10</f>
      </c>
    </row>
    <row r="11" spans="1:15" x14ac:dyDescent="0.25">
      <c r="A11" s="2" t="s">
        <v>154</v>
      </c>
      <c r="B11" s="4">
        <v>1</v>
      </c>
      <c r="C11" s="4" t="s">
        <v>27</v>
      </c>
      <c r="D11" s="4"/>
      <c r="E11" s="4"/>
      <c r="F11" s="4">
        <v>17.5</v>
      </c>
      <c r="G11" s="4" t="s">
        <v>86</v>
      </c>
      <c r="H11" s="4"/>
      <c r="I11" s="4"/>
      <c r="J11" s="4">
        <v>6.08</v>
      </c>
      <c r="K11" s="4"/>
      <c r="L11" s="4"/>
      <c r="M11" s="4" t="s">
        <v>18</v>
      </c>
      <c r="N11" s="4">
        <v>60</v>
      </c>
      <c r="O11" s="3">
        <f>=B11*(N11*F11/10000)*J11</f>
      </c>
    </row>
    <row r="12" spans="1:15" x14ac:dyDescent="0.25">
      <c r="A12" s="2" t="s">
        <v>155</v>
      </c>
      <c r="B12" s="4">
        <v>4</v>
      </c>
      <c r="C12" s="4" t="s">
        <v>27</v>
      </c>
      <c r="D12" s="4"/>
      <c r="E12" s="4"/>
      <c r="F12" s="4">
        <v>9.5</v>
      </c>
      <c r="G12" s="4" t="s">
        <v>156</v>
      </c>
      <c r="H12" s="4"/>
      <c r="I12" s="4"/>
      <c r="J12" s="4">
        <v>6.08</v>
      </c>
      <c r="K12" s="4"/>
      <c r="L12" s="4"/>
      <c r="M12" s="4" t="s">
        <v>18</v>
      </c>
      <c r="N12" s="4">
        <v>24</v>
      </c>
      <c r="O12" s="3">
        <f>=B12*(N12*F12/10000)*J12</f>
      </c>
    </row>
    <row r="13" spans="1:15" x14ac:dyDescent="0.25">
      <c r="A13" s="2" t="s">
        <v>157</v>
      </c>
      <c r="B13" s="4">
        <v>3</v>
      </c>
      <c r="C13" s="4" t="s">
        <v>27</v>
      </c>
      <c r="D13" s="4"/>
      <c r="E13" s="4"/>
      <c r="F13" s="4">
        <v>15</v>
      </c>
      <c r="G13" s="4" t="s">
        <v>158</v>
      </c>
      <c r="H13" s="4"/>
      <c r="I13" s="4"/>
      <c r="J13" s="4">
        <v>6.08</v>
      </c>
      <c r="K13" s="4"/>
      <c r="L13" s="4"/>
      <c r="M13" s="4" t="s">
        <v>18</v>
      </c>
      <c r="N13" s="4">
        <v>20</v>
      </c>
      <c r="O13" s="3">
        <f>=B13*(N13*F13/10000)*J13</f>
      </c>
    </row>
    <row r="14" spans="1:15" x14ac:dyDescent="0.25">
      <c r="A14" s="2" t="s">
        <v>159</v>
      </c>
      <c r="B14" s="4">
        <v>3</v>
      </c>
      <c r="C14" s="4" t="s">
        <v>27</v>
      </c>
      <c r="D14" s="4"/>
      <c r="E14" s="4"/>
      <c r="F14" s="4">
        <v>18</v>
      </c>
      <c r="G14" s="4" t="s">
        <v>160</v>
      </c>
      <c r="H14" s="4"/>
      <c r="I14" s="4"/>
      <c r="J14" s="4">
        <v>6.08</v>
      </c>
      <c r="K14" s="4"/>
      <c r="L14" s="4"/>
      <c r="M14" s="4" t="s">
        <v>18</v>
      </c>
      <c r="N14" s="4">
        <v>20</v>
      </c>
      <c r="O14" s="3">
        <f>=B14*(N14*F14/10000)*J14</f>
      </c>
    </row>
    <row r="15" spans="1:15" x14ac:dyDescent="0.25">
      <c r="A15" s="2" t="s">
        <v>161</v>
      </c>
      <c r="B15" s="4">
        <v>7</v>
      </c>
      <c r="C15" s="4" t="s">
        <v>27</v>
      </c>
      <c r="D15" s="4"/>
      <c r="E15" s="4"/>
      <c r="F15" s="4">
        <v>18</v>
      </c>
      <c r="G15" s="4" t="s">
        <v>54</v>
      </c>
      <c r="H15" s="4"/>
      <c r="I15" s="4"/>
      <c r="J15" s="4">
        <v>6.08</v>
      </c>
      <c r="K15" s="4"/>
      <c r="L15" s="4"/>
      <c r="M15" s="4" t="s">
        <v>18</v>
      </c>
      <c r="N15" s="4">
        <v>24</v>
      </c>
      <c r="O15" s="3">
        <f>=B15*(N15*F15/10000)*J15</f>
      </c>
    </row>
    <row r="16" spans="1:15" x14ac:dyDescent="0.25">
      <c r="A16" s="2" t="s">
        <v>162</v>
      </c>
      <c r="B16" s="4">
        <v>1</v>
      </c>
      <c r="C16" s="4" t="s">
        <v>27</v>
      </c>
      <c r="D16" s="4"/>
      <c r="E16" s="4"/>
      <c r="F16" s="4">
        <v>22</v>
      </c>
      <c r="G16" s="4" t="s">
        <v>163</v>
      </c>
      <c r="H16" s="4"/>
      <c r="I16" s="4"/>
      <c r="J16" s="4">
        <v>6.08</v>
      </c>
      <c r="K16" s="4"/>
      <c r="L16" s="4"/>
      <c r="M16" s="4" t="s">
        <v>18</v>
      </c>
      <c r="N16" s="4">
        <v>31</v>
      </c>
      <c r="O16" s="3">
        <f>=B16*(N16*F16/10000)*J16</f>
      </c>
    </row>
    <row r="17" spans="1:15" x14ac:dyDescent="0.25">
      <c r="A17" s="2" t="s">
        <v>164</v>
      </c>
      <c r="B17" s="4">
        <v>3</v>
      </c>
      <c r="C17" s="4" t="s">
        <v>27</v>
      </c>
      <c r="D17" s="4"/>
      <c r="E17" s="4"/>
      <c r="F17" s="4">
        <v>30</v>
      </c>
      <c r="G17" s="4" t="s">
        <v>165</v>
      </c>
      <c r="H17" s="4"/>
      <c r="I17" s="4"/>
      <c r="J17" s="4">
        <v>6.08</v>
      </c>
      <c r="K17" s="4"/>
      <c r="L17" s="4"/>
      <c r="M17" s="4" t="s">
        <v>18</v>
      </c>
      <c r="N17" s="4">
        <v>30</v>
      </c>
      <c r="O17" s="3">
        <f>=B17*(N17*F17/10000)*J17</f>
      </c>
    </row>
    <row r="18" spans="1:15" x14ac:dyDescent="0.25">
      <c r="A18" s="2" t="s">
        <v>166</v>
      </c>
      <c r="B18" s="4">
        <v>2</v>
      </c>
      <c r="C18" s="4" t="s">
        <v>27</v>
      </c>
      <c r="D18" s="4"/>
      <c r="E18" s="4"/>
      <c r="F18" s="4">
        <v>50</v>
      </c>
      <c r="G18" s="4" t="s">
        <v>167</v>
      </c>
      <c r="H18" s="4"/>
      <c r="I18" s="4"/>
      <c r="J18" s="4">
        <v>6.08</v>
      </c>
      <c r="K18" s="4">
        <v>8</v>
      </c>
      <c r="L18" s="4"/>
      <c r="M18" s="4" t="s">
        <v>18</v>
      </c>
      <c r="N18" s="4">
        <v>40</v>
      </c>
      <c r="O18" s="3">
        <f>=B18*(N18*F18/10000)*J18</f>
      </c>
    </row>
    <row r="19" spans="1:15" x14ac:dyDescent="0.25">
      <c r="A19" s="2" t="s">
        <v>168</v>
      </c>
      <c r="B19" s="4">
        <v>0</v>
      </c>
      <c r="C19" s="4" t="s">
        <v>27</v>
      </c>
      <c r="D19" s="4"/>
      <c r="E19" s="4"/>
      <c r="F19" s="4">
        <v>50</v>
      </c>
      <c r="G19" s="4" t="s">
        <v>76</v>
      </c>
      <c r="H19" s="4"/>
      <c r="I19" s="4"/>
      <c r="J19" s="4">
        <v>6.08</v>
      </c>
      <c r="K19" s="4">
        <v>1</v>
      </c>
      <c r="L19" s="4"/>
      <c r="M19" s="4" t="s">
        <v>18</v>
      </c>
      <c r="N19" s="4">
        <v>50</v>
      </c>
      <c r="O19" s="3">
        <f>=B19*(N19*F19/10000)*J19</f>
      </c>
    </row>
    <row r="20" spans="1:15" x14ac:dyDescent="0.25">
      <c r="A20" s="2" t="s">
        <v>169</v>
      </c>
      <c r="B20" s="4">
        <v>5</v>
      </c>
      <c r="C20" s="4" t="s">
        <v>27</v>
      </c>
      <c r="D20" s="4"/>
      <c r="E20" s="4"/>
      <c r="F20" s="4">
        <v>35.5</v>
      </c>
      <c r="G20" s="4" t="s">
        <v>170</v>
      </c>
      <c r="H20" s="4"/>
      <c r="I20" s="4"/>
      <c r="J20" s="4">
        <v>6.08</v>
      </c>
      <c r="K20" s="4">
        <v>3</v>
      </c>
      <c r="L20" s="4"/>
      <c r="M20" s="4" t="s">
        <v>18</v>
      </c>
      <c r="N20" s="4">
        <v>22.5</v>
      </c>
      <c r="O20" s="3">
        <f>=B20*(N20*F20/10000)*J20</f>
      </c>
    </row>
    <row r="21" spans="1:15" x14ac:dyDescent="0.25">
      <c r="A21" s="2" t="s">
        <v>171</v>
      </c>
      <c r="B21" s="4">
        <v>1</v>
      </c>
      <c r="C21" s="4" t="s">
        <v>27</v>
      </c>
      <c r="D21" s="4"/>
      <c r="E21" s="4"/>
      <c r="F21" s="4">
        <v>58</v>
      </c>
      <c r="G21" s="4" t="s">
        <v>172</v>
      </c>
      <c r="H21" s="4"/>
      <c r="I21" s="4"/>
      <c r="J21" s="4">
        <v>6.08</v>
      </c>
      <c r="K21" s="4"/>
      <c r="L21" s="4"/>
      <c r="M21" s="4" t="s">
        <v>18</v>
      </c>
      <c r="N21" s="4">
        <v>28</v>
      </c>
      <c r="O21" s="3">
        <f>=B21*(N21*F21/10000)*J21</f>
      </c>
    </row>
    <row r="22" spans="1:15" x14ac:dyDescent="0.25">
      <c r="A22" s="2" t="s">
        <v>173</v>
      </c>
      <c r="B22" s="4">
        <v>1</v>
      </c>
      <c r="C22" s="4" t="s">
        <v>27</v>
      </c>
      <c r="D22" s="4"/>
      <c r="E22" s="4"/>
      <c r="F22" s="4">
        <v>21.5</v>
      </c>
      <c r="G22" s="4" t="s">
        <v>174</v>
      </c>
      <c r="H22" s="4"/>
      <c r="I22" s="4"/>
      <c r="J22" s="4">
        <v>6.08</v>
      </c>
      <c r="K22" s="4"/>
      <c r="L22" s="4"/>
      <c r="M22" s="4" t="s">
        <v>18</v>
      </c>
      <c r="N22" s="4">
        <v>110</v>
      </c>
      <c r="O22" s="3">
        <f>=B22*(N22*F22/10000)*J22</f>
      </c>
    </row>
    <row r="23" spans="1:15" x14ac:dyDescent="0.25">
      <c r="A23" s="2" t="s">
        <v>175</v>
      </c>
      <c r="B23" s="4">
        <v>1</v>
      </c>
      <c r="C23" s="4" t="s">
        <v>27</v>
      </c>
      <c r="D23" s="4"/>
      <c r="E23" s="4"/>
      <c r="F23" s="4">
        <v>25</v>
      </c>
      <c r="G23" s="4" t="s">
        <v>176</v>
      </c>
      <c r="H23" s="4"/>
      <c r="I23" s="4"/>
      <c r="J23" s="4">
        <v>6.08</v>
      </c>
      <c r="K23" s="4"/>
      <c r="L23" s="4"/>
      <c r="M23" s="4" t="s">
        <v>18</v>
      </c>
      <c r="N23" s="4">
        <v>105</v>
      </c>
      <c r="O23" s="3">
        <f>=B23*(N23*F23/10000)*J23</f>
      </c>
    </row>
    <row r="24" spans="1:15" x14ac:dyDescent="0.25">
      <c r="A24" s="2" t="s">
        <v>177</v>
      </c>
      <c r="B24" s="4">
        <v>1</v>
      </c>
      <c r="C24" s="4" t="s">
        <v>27</v>
      </c>
      <c r="D24" s="4"/>
      <c r="E24" s="4"/>
      <c r="F24" s="4">
        <v>25</v>
      </c>
      <c r="G24" s="4" t="s">
        <v>178</v>
      </c>
      <c r="H24" s="4"/>
      <c r="I24" s="4"/>
      <c r="J24" s="4">
        <v>6.08</v>
      </c>
      <c r="K24" s="4"/>
      <c r="L24" s="4"/>
      <c r="M24" s="4" t="s">
        <v>18</v>
      </c>
      <c r="N24" s="4">
        <v>120</v>
      </c>
      <c r="O24" s="3">
        <f>=B24*(N24*F24/10000)*J24</f>
      </c>
    </row>
    <row r="25" spans="1:15" x14ac:dyDescent="0.25">
      <c r="A25" s="2" t="s">
        <v>179</v>
      </c>
      <c r="B25" s="4">
        <v>1</v>
      </c>
      <c r="C25" s="4" t="s">
        <v>27</v>
      </c>
      <c r="D25" s="4"/>
      <c r="E25" s="4"/>
      <c r="F25" s="4">
        <v>131</v>
      </c>
      <c r="G25" s="4" t="s">
        <v>180</v>
      </c>
      <c r="H25" s="4"/>
      <c r="I25" s="4"/>
      <c r="J25" s="4">
        <v>6.08</v>
      </c>
      <c r="K25" s="4"/>
      <c r="L25" s="4"/>
      <c r="M25" s="4" t="s">
        <v>18</v>
      </c>
      <c r="N25" s="4">
        <v>24</v>
      </c>
      <c r="O25" s="3">
        <f>=B25*(N25*F25/10000)*J25</f>
      </c>
    </row>
    <row r="26" spans="1:15" x14ac:dyDescent="0.25">
      <c r="A26" s="2" t="s">
        <v>181</v>
      </c>
      <c r="B26" s="4">
        <v>1</v>
      </c>
      <c r="C26" s="4" t="s">
        <v>27</v>
      </c>
      <c r="D26" s="4"/>
      <c r="E26" s="4"/>
      <c r="F26" s="4">
        <v>30</v>
      </c>
      <c r="G26" s="4" t="s">
        <v>182</v>
      </c>
      <c r="H26" s="4"/>
      <c r="I26" s="4"/>
      <c r="J26" s="4">
        <v>6.08</v>
      </c>
      <c r="K26" s="4"/>
      <c r="L26" s="4"/>
      <c r="M26" s="4" t="s">
        <v>18</v>
      </c>
      <c r="N26" s="4">
        <v>49</v>
      </c>
      <c r="O26" s="3">
        <f>=B26*(N26*F26/10000)*J26</f>
      </c>
    </row>
    <row r="27" spans="1:15" x14ac:dyDescent="0.25">
      <c r="A27" s="2" t="s">
        <v>183</v>
      </c>
      <c r="B27" s="4">
        <v>1</v>
      </c>
      <c r="C27" s="4" t="s">
        <v>27</v>
      </c>
      <c r="D27" s="4"/>
      <c r="E27" s="4"/>
      <c r="F27" s="4">
        <v>79</v>
      </c>
      <c r="G27" s="4" t="s">
        <v>184</v>
      </c>
      <c r="H27" s="4"/>
      <c r="I27" s="4"/>
      <c r="J27" s="4">
        <v>6.08</v>
      </c>
      <c r="K27" s="4"/>
      <c r="L27" s="4"/>
      <c r="M27" s="4" t="s">
        <v>18</v>
      </c>
      <c r="N27" s="4">
        <v>29</v>
      </c>
      <c r="O27" s="3">
        <f>=B27*(N27*F27/10000)*J27</f>
      </c>
    </row>
    <row r="28" spans="1:15" x14ac:dyDescent="0.25">
      <c r="A28" s="2" t="s">
        <v>185</v>
      </c>
      <c r="B28" s="4">
        <v>1</v>
      </c>
      <c r="C28" s="4" t="s">
        <v>27</v>
      </c>
      <c r="D28" s="4"/>
      <c r="E28" s="4"/>
      <c r="F28" s="4">
        <v>14.5</v>
      </c>
      <c r="G28" s="4" t="s">
        <v>186</v>
      </c>
      <c r="H28" s="4"/>
      <c r="I28" s="4"/>
      <c r="J28" s="4">
        <v>6.08</v>
      </c>
      <c r="K28" s="4"/>
      <c r="L28" s="4"/>
      <c r="M28" s="4" t="s">
        <v>18</v>
      </c>
      <c r="N28" s="4">
        <v>80</v>
      </c>
      <c r="O28" s="3">
        <f>=B28*(N28*F28/10000)*J28</f>
      </c>
    </row>
    <row r="29" spans="1:15" x14ac:dyDescent="0.25">
      <c r="A29" s="2" t="s">
        <v>187</v>
      </c>
      <c r="B29" s="4">
        <v>1</v>
      </c>
      <c r="C29" s="4" t="s">
        <v>27</v>
      </c>
      <c r="D29" s="4"/>
      <c r="E29" s="4"/>
      <c r="F29" s="4">
        <v>38</v>
      </c>
      <c r="G29" s="4" t="s">
        <v>188</v>
      </c>
      <c r="H29" s="4"/>
      <c r="I29" s="4"/>
      <c r="J29" s="4">
        <v>6.08</v>
      </c>
      <c r="K29" s="4"/>
      <c r="L29" s="4"/>
      <c r="M29" s="4" t="s">
        <v>18</v>
      </c>
      <c r="N29" s="4">
        <v>42</v>
      </c>
      <c r="O29" s="3">
        <f>=B29*(N29*F29/10000)*J29</f>
      </c>
    </row>
    <row r="30" spans="1:15" x14ac:dyDescent="0.25">
      <c r="A30" s="2" t="s">
        <v>189</v>
      </c>
      <c r="B30" s="4">
        <v>1</v>
      </c>
      <c r="C30" s="4" t="s">
        <v>27</v>
      </c>
      <c r="D30" s="4"/>
      <c r="E30" s="4"/>
      <c r="F30" s="4">
        <v>19</v>
      </c>
      <c r="G30" s="4" t="s">
        <v>190</v>
      </c>
      <c r="H30" s="4"/>
      <c r="I30" s="4"/>
      <c r="J30" s="4">
        <v>6.08</v>
      </c>
      <c r="K30" s="4"/>
      <c r="L30" s="4"/>
      <c r="M30" s="4" t="s">
        <v>18</v>
      </c>
      <c r="N30" s="4">
        <v>42</v>
      </c>
      <c r="O30" s="3">
        <f>=B30*(N30*F30/10000)*J30</f>
      </c>
    </row>
    <row r="31" spans="1:15" x14ac:dyDescent="0.25">
      <c r="A31" s="2" t="s">
        <v>191</v>
      </c>
      <c r="B31" s="4">
        <v>1</v>
      </c>
      <c r="C31" s="4" t="s">
        <v>27</v>
      </c>
      <c r="D31" s="4"/>
      <c r="E31" s="4"/>
      <c r="F31" s="4">
        <v>19</v>
      </c>
      <c r="G31" s="4" t="s">
        <v>192</v>
      </c>
      <c r="H31" s="4"/>
      <c r="I31" s="4"/>
      <c r="J31" s="4">
        <v>6.08</v>
      </c>
      <c r="K31" s="4"/>
      <c r="L31" s="4"/>
      <c r="M31" s="4" t="s">
        <v>18</v>
      </c>
      <c r="N31" s="4">
        <v>79</v>
      </c>
      <c r="O31" s="3">
        <f>=B31*(N31*F31/10000)*J31</f>
      </c>
    </row>
    <row r="32" spans="1:15" x14ac:dyDescent="0.25">
      <c r="A32" s="2" t="s">
        <v>193</v>
      </c>
      <c r="B32" s="4">
        <v>1</v>
      </c>
      <c r="C32" s="4" t="s">
        <v>27</v>
      </c>
      <c r="D32" s="4"/>
      <c r="E32" s="4"/>
      <c r="F32" s="4">
        <v>33</v>
      </c>
      <c r="G32" s="4" t="s">
        <v>194</v>
      </c>
      <c r="H32" s="4"/>
      <c r="I32" s="4"/>
      <c r="J32" s="4">
        <v>6.08</v>
      </c>
      <c r="K32" s="4">
        <v>3</v>
      </c>
      <c r="L32" s="4"/>
      <c r="M32" s="4" t="s">
        <v>18</v>
      </c>
      <c r="N32" s="4">
        <v>37</v>
      </c>
      <c r="O32" s="3">
        <f>=B32*(N32*F32/10000)*J32</f>
      </c>
    </row>
    <row r="33" spans="1:15" x14ac:dyDescent="0.25">
      <c r="A33" s="2" t="s">
        <v>195</v>
      </c>
      <c r="B33" s="4">
        <v>1</v>
      </c>
      <c r="C33" s="4" t="s">
        <v>27</v>
      </c>
      <c r="D33" s="4"/>
      <c r="E33" s="4"/>
      <c r="F33" s="4">
        <v>35</v>
      </c>
      <c r="G33" s="4" t="s">
        <v>196</v>
      </c>
      <c r="H33" s="4"/>
      <c r="I33" s="4"/>
      <c r="J33" s="4">
        <v>6.08</v>
      </c>
      <c r="K33" s="4">
        <v>3</v>
      </c>
      <c r="L33" s="4"/>
      <c r="M33" s="4" t="s">
        <v>18</v>
      </c>
      <c r="N33" s="4">
        <v>46.5</v>
      </c>
      <c r="O33" s="3">
        <f>=B33*(N33*F33/10000)*J33</f>
      </c>
    </row>
    <row r="34" spans="1:15" x14ac:dyDescent="0.25">
      <c r="A34" s="2" t="s">
        <v>197</v>
      </c>
      <c r="B34" s="4">
        <v>1</v>
      </c>
      <c r="C34" s="4" t="s">
        <v>27</v>
      </c>
      <c r="D34" s="4"/>
      <c r="E34" s="4"/>
      <c r="F34" s="4">
        <v>67</v>
      </c>
      <c r="G34" s="4" t="s">
        <v>198</v>
      </c>
      <c r="H34" s="4"/>
      <c r="I34" s="4"/>
      <c r="J34" s="4">
        <v>6.08</v>
      </c>
      <c r="K34" s="4">
        <v>3</v>
      </c>
      <c r="L34" s="4"/>
      <c r="M34" s="4" t="s">
        <v>18</v>
      </c>
      <c r="N34" s="4">
        <v>85</v>
      </c>
      <c r="O34" s="3">
        <f>=B34*(N34*F34/10000)*J34</f>
      </c>
    </row>
    <row r="35" spans="1:15" x14ac:dyDescent="0.25">
      <c r="A35" s="2" t="s">
        <v>199</v>
      </c>
      <c r="B35" s="4">
        <v>1</v>
      </c>
      <c r="C35" s="4" t="s">
        <v>27</v>
      </c>
      <c r="D35" s="4"/>
      <c r="E35" s="4"/>
      <c r="F35" s="4">
        <v>183</v>
      </c>
      <c r="G35" s="4" t="s">
        <v>200</v>
      </c>
      <c r="H35" s="4"/>
      <c r="I35" s="4"/>
      <c r="J35" s="4">
        <v>6.08</v>
      </c>
      <c r="K35" s="4">
        <v>3</v>
      </c>
      <c r="L35" s="4"/>
      <c r="M35" s="4" t="s">
        <v>18</v>
      </c>
      <c r="N35" s="4">
        <v>40</v>
      </c>
      <c r="O35" s="3">
        <f>=B35*(N35*F35/10000)*J35</f>
      </c>
    </row>
    <row r="36" spans="1:15" x14ac:dyDescent="0.25">
      <c r="A36" s="2" t="s">
        <v>201</v>
      </c>
      <c r="B36" s="4">
        <v>1</v>
      </c>
      <c r="C36" s="4" t="s">
        <v>27</v>
      </c>
      <c r="D36" s="4"/>
      <c r="E36" s="4"/>
      <c r="F36" s="4">
        <v>143</v>
      </c>
      <c r="G36" s="4" t="s">
        <v>202</v>
      </c>
      <c r="H36" s="4"/>
      <c r="I36" s="4"/>
      <c r="J36" s="4">
        <v>6.08</v>
      </c>
      <c r="K36" s="4">
        <v>3</v>
      </c>
      <c r="L36" s="4"/>
      <c r="M36" s="4" t="s">
        <v>18</v>
      </c>
      <c r="N36" s="4">
        <v>47.5</v>
      </c>
      <c r="O36" s="3">
        <f>=B36*(N36*F36/10000)*J36</f>
      </c>
    </row>
    <row r="37" spans="1:15" x14ac:dyDescent="0.25">
      <c r="A37" s="2" t="s">
        <v>203</v>
      </c>
      <c r="B37" s="4">
        <v>1</v>
      </c>
      <c r="C37" s="4" t="s">
        <v>27</v>
      </c>
      <c r="D37" s="4"/>
      <c r="E37" s="4"/>
      <c r="F37" s="4">
        <v>27.5</v>
      </c>
      <c r="G37" s="4" t="s">
        <v>204</v>
      </c>
      <c r="H37" s="4"/>
      <c r="I37" s="4"/>
      <c r="J37" s="4">
        <v>6.08</v>
      </c>
      <c r="K37" s="4">
        <v>3</v>
      </c>
      <c r="L37" s="4"/>
      <c r="M37" s="4" t="s">
        <v>18</v>
      </c>
      <c r="N37" s="4">
        <v>33</v>
      </c>
      <c r="O37" s="3">
        <f>=B37*(N37*F37/10000)*J37</f>
      </c>
    </row>
    <row r="38" spans="1:15" x14ac:dyDescent="0.25">
      <c r="A38" s="2" t="s">
        <v>205</v>
      </c>
      <c r="B38" s="4">
        <v>0</v>
      </c>
      <c r="C38" s="4" t="s">
        <v>27</v>
      </c>
      <c r="D38" s="4"/>
      <c r="E38" s="4"/>
      <c r="F38" s="4">
        <v>47.5</v>
      </c>
      <c r="G38" s="4" t="s">
        <v>206</v>
      </c>
      <c r="H38" s="4"/>
      <c r="I38" s="4"/>
      <c r="J38" s="4">
        <v>6.08</v>
      </c>
      <c r="K38" s="4">
        <v>3</v>
      </c>
      <c r="L38" s="4"/>
      <c r="M38" s="4" t="s">
        <v>18</v>
      </c>
      <c r="N38" s="4">
        <v>143</v>
      </c>
      <c r="O38" s="3">
        <f>=B38*(N38*F38/10000)*J38</f>
      </c>
    </row>
    <row r="39" spans="1:15" x14ac:dyDescent="0.25">
      <c r="A39" s="2" t="s">
        <v>207</v>
      </c>
      <c r="B39" s="4">
        <v>0</v>
      </c>
      <c r="C39" s="4" t="s">
        <v>27</v>
      </c>
      <c r="D39" s="4"/>
      <c r="E39" s="4"/>
      <c r="F39" s="4">
        <v>29.5</v>
      </c>
      <c r="G39" s="4" t="s">
        <v>208</v>
      </c>
      <c r="H39" s="4"/>
      <c r="I39" s="4"/>
      <c r="J39" s="4">
        <v>6.08</v>
      </c>
      <c r="K39" s="4">
        <v>10</v>
      </c>
      <c r="L39" s="4"/>
      <c r="M39" s="4" t="s">
        <v>18</v>
      </c>
      <c r="N39" s="4">
        <v>41</v>
      </c>
      <c r="O39" s="3">
        <f>=B39*(N39*F39/10000)*J39</f>
      </c>
    </row>
    <row r="40" spans="1:15" x14ac:dyDescent="0.25">
      <c r="A40" s="2" t="s">
        <v>209</v>
      </c>
      <c r="B40" s="4">
        <v>0</v>
      </c>
      <c r="C40" s="4" t="s">
        <v>27</v>
      </c>
      <c r="D40" s="4"/>
      <c r="E40" s="4"/>
      <c r="F40" s="4">
        <v>49</v>
      </c>
      <c r="G40" s="4" t="s">
        <v>210</v>
      </c>
      <c r="H40" s="4"/>
      <c r="I40" s="4"/>
      <c r="J40" s="4">
        <v>6.08</v>
      </c>
      <c r="K40" s="4">
        <v>10</v>
      </c>
      <c r="L40" s="4"/>
      <c r="M40" s="4" t="s">
        <v>18</v>
      </c>
      <c r="N40" s="4">
        <v>156</v>
      </c>
      <c r="O40" s="3">
        <f>=B40*(N40*F40/10000)*J40</f>
      </c>
    </row>
    <row r="41" spans="1:15" x14ac:dyDescent="0.25">
      <c r="A41" s="2" t="s">
        <v>211</v>
      </c>
      <c r="B41" s="4">
        <v>1</v>
      </c>
      <c r="C41" s="4" t="s">
        <v>27</v>
      </c>
      <c r="D41" s="4"/>
      <c r="E41" s="4"/>
      <c r="F41" s="4">
        <v>30</v>
      </c>
      <c r="G41" s="4" t="s">
        <v>212</v>
      </c>
      <c r="H41" s="4"/>
      <c r="I41" s="4"/>
      <c r="J41" s="4">
        <v>6.08</v>
      </c>
      <c r="K41" s="4">
        <v>3</v>
      </c>
      <c r="L41" s="4"/>
      <c r="M41" s="4" t="s">
        <v>18</v>
      </c>
      <c r="N41" s="4">
        <v>99</v>
      </c>
      <c r="O41" s="3">
        <f>=B41*(N41*F41/10000)*J41</f>
      </c>
    </row>
    <row r="42" spans="1:15" x14ac:dyDescent="0.25">
      <c r="A42" s="2" t="s">
        <v>213</v>
      </c>
      <c r="B42" s="4">
        <v>2</v>
      </c>
      <c r="C42" s="4" t="s">
        <v>27</v>
      </c>
      <c r="D42" s="4"/>
      <c r="E42" s="4"/>
      <c r="F42" s="4">
        <v>41</v>
      </c>
      <c r="G42" s="4" t="s">
        <v>214</v>
      </c>
      <c r="H42" s="4"/>
      <c r="I42" s="4"/>
      <c r="J42" s="4">
        <v>6.08</v>
      </c>
      <c r="K42" s="4">
        <v>8</v>
      </c>
      <c r="L42" s="4"/>
      <c r="M42" s="4" t="s">
        <v>18</v>
      </c>
      <c r="N42" s="4">
        <v>205</v>
      </c>
      <c r="O42" s="3">
        <f>=B42*(N42*F42/10000)*J42</f>
      </c>
    </row>
    <row r="43" spans="1:15" x14ac:dyDescent="0.25">
      <c r="A43" s="2" t="s">
        <v>215</v>
      </c>
      <c r="B43" s="4">
        <v>1</v>
      </c>
      <c r="C43" s="4" t="s">
        <v>27</v>
      </c>
      <c r="D43" s="4"/>
      <c r="E43" s="4"/>
      <c r="F43" s="4">
        <v>22.5</v>
      </c>
      <c r="G43" s="4" t="s">
        <v>216</v>
      </c>
      <c r="H43" s="4"/>
      <c r="I43" s="4"/>
      <c r="J43" s="4">
        <v>6.08</v>
      </c>
      <c r="K43" s="4">
        <v>5</v>
      </c>
      <c r="L43" s="4"/>
      <c r="M43" s="4" t="s">
        <v>18</v>
      </c>
      <c r="N43" s="4">
        <v>108</v>
      </c>
      <c r="O43" s="3">
        <f>=B43*(N43*F43/10000)*J43</f>
      </c>
    </row>
    <row r="44" spans="1:15" x14ac:dyDescent="0.25">
      <c r="A44" s="2" t="s">
        <v>217</v>
      </c>
      <c r="B44" s="4">
        <v>8</v>
      </c>
      <c r="C44" s="4" t="s">
        <v>27</v>
      </c>
      <c r="D44" s="4"/>
      <c r="E44" s="4"/>
      <c r="F44" s="4">
        <v>72</v>
      </c>
      <c r="G44" s="4" t="s">
        <v>218</v>
      </c>
      <c r="H44" s="4"/>
      <c r="I44" s="4"/>
      <c r="J44" s="4">
        <v>6.08</v>
      </c>
      <c r="K44" s="4">
        <v>8</v>
      </c>
      <c r="L44" s="4"/>
      <c r="M44" s="4" t="s">
        <v>18</v>
      </c>
      <c r="N44" s="4">
        <v>72</v>
      </c>
      <c r="O44" s="3">
        <f>=B44*(N44*F44/10000)*J44</f>
      </c>
    </row>
    <row r="45" spans="1:15" x14ac:dyDescent="0.25">
      <c r="A45" s="2" t="s">
        <v>219</v>
      </c>
      <c r="B45" s="4">
        <v>2</v>
      </c>
      <c r="C45" s="4" t="s">
        <v>27</v>
      </c>
      <c r="D45" s="4"/>
      <c r="E45" s="4"/>
      <c r="F45" s="4">
        <v>72</v>
      </c>
      <c r="G45" s="4" t="s">
        <v>220</v>
      </c>
      <c r="H45" s="4"/>
      <c r="I45" s="4"/>
      <c r="J45" s="4">
        <v>6.08</v>
      </c>
      <c r="K45" s="4">
        <v>5</v>
      </c>
      <c r="L45" s="4"/>
      <c r="M45" s="4" t="s">
        <v>18</v>
      </c>
      <c r="N45" s="4">
        <v>72</v>
      </c>
      <c r="O45" s="3">
        <f>=B45*(N45*F45/10000)*J45</f>
      </c>
    </row>
    <row r="46" spans="1:15" x14ac:dyDescent="0.25">
      <c r="A46" s="2" t="s">
        <v>221</v>
      </c>
      <c r="B46" s="4">
        <v>1</v>
      </c>
      <c r="C46" s="4" t="s">
        <v>27</v>
      </c>
      <c r="D46" s="4"/>
      <c r="E46" s="4"/>
      <c r="F46" s="4">
        <v>41</v>
      </c>
      <c r="G46" s="4" t="s">
        <v>222</v>
      </c>
      <c r="H46" s="4"/>
      <c r="I46" s="4"/>
      <c r="J46" s="4">
        <v>6.08</v>
      </c>
      <c r="K46" s="4">
        <v>3</v>
      </c>
      <c r="L46" s="4"/>
      <c r="M46" s="4" t="s">
        <v>18</v>
      </c>
      <c r="N46" s="4">
        <v>65</v>
      </c>
      <c r="O46" s="3">
        <f>=B46*(N46*F46/10000)*J46</f>
      </c>
    </row>
    <row r="47" spans="1:15" x14ac:dyDescent="0.25">
      <c r="A47" s="2" t="s">
        <v>223</v>
      </c>
      <c r="B47" s="4">
        <v>1</v>
      </c>
      <c r="C47" s="4" t="s">
        <v>27</v>
      </c>
      <c r="D47" s="4"/>
      <c r="E47" s="4"/>
      <c r="F47" s="4">
        <v>84</v>
      </c>
      <c r="G47" s="4" t="s">
        <v>224</v>
      </c>
      <c r="H47" s="4"/>
      <c r="I47" s="4"/>
      <c r="J47" s="4">
        <v>6.08</v>
      </c>
      <c r="K47" s="4">
        <v>3</v>
      </c>
      <c r="L47" s="4"/>
      <c r="M47" s="4" t="s">
        <v>18</v>
      </c>
      <c r="N47" s="4">
        <v>86</v>
      </c>
      <c r="O47" s="3">
        <f>=B47*(N47*F47/10000)*J47</f>
      </c>
    </row>
    <row r="48" spans="1:15" x14ac:dyDescent="0.25">
      <c r="A48" s="2" t="s">
        <v>225</v>
      </c>
      <c r="B48" s="4">
        <v>1</v>
      </c>
      <c r="C48" s="4"/>
      <c r="D48" s="4">
        <v>0</v>
      </c>
      <c r="E48" s="4" t="s">
        <v>102</v>
      </c>
      <c r="F48" s="4">
        <v>0</v>
      </c>
      <c r="G48" s="4" t="s">
        <v>226</v>
      </c>
      <c r="H48" s="4">
        <v>0</v>
      </c>
      <c r="I48" s="4">
        <v>0</v>
      </c>
      <c r="J48" s="4">
        <v>0</v>
      </c>
      <c r="K48" s="4">
        <v>3</v>
      </c>
      <c r="L48" s="4">
        <v>0</v>
      </c>
      <c r="M48" s="4" t="s">
        <v>18</v>
      </c>
      <c r="N48" s="4">
        <v>0</v>
      </c>
      <c r="O48" s="3">
        <f>=0</f>
      </c>
    </row>
    <row r="49" spans="1:15" x14ac:dyDescent="0.25">
      <c r="A49" s="2" t="s">
        <v>227</v>
      </c>
      <c r="B49" s="4">
        <v>1</v>
      </c>
      <c r="C49" s="4"/>
      <c r="D49" s="4">
        <v>0</v>
      </c>
      <c r="E49" s="4" t="s">
        <v>102</v>
      </c>
      <c r="F49" s="4">
        <v>0</v>
      </c>
      <c r="G49" s="4" t="s">
        <v>228</v>
      </c>
      <c r="H49" s="4">
        <v>0</v>
      </c>
      <c r="I49" s="4">
        <v>0</v>
      </c>
      <c r="J49" s="4">
        <v>0</v>
      </c>
      <c r="K49" s="4">
        <v>3</v>
      </c>
      <c r="L49" s="4">
        <v>0</v>
      </c>
      <c r="M49" s="4" t="s">
        <v>18</v>
      </c>
      <c r="N49" s="4">
        <v>0</v>
      </c>
      <c r="O49" s="3">
        <f>=0</f>
      </c>
    </row>
    <row r="50" spans="1:15" x14ac:dyDescent="0.25">
      <c r="A50" s="2" t="s">
        <v>229</v>
      </c>
      <c r="B50" s="4">
        <v>1</v>
      </c>
      <c r="C50" s="4"/>
      <c r="D50" s="4">
        <v>0</v>
      </c>
      <c r="E50" s="4" t="s">
        <v>102</v>
      </c>
      <c r="F50" s="4">
        <v>0</v>
      </c>
      <c r="G50" s="4" t="s">
        <v>230</v>
      </c>
      <c r="H50" s="4">
        <v>0</v>
      </c>
      <c r="I50" s="4">
        <v>0</v>
      </c>
      <c r="J50" s="4">
        <v>0</v>
      </c>
      <c r="K50" s="4">
        <v>3</v>
      </c>
      <c r="L50" s="4">
        <v>0</v>
      </c>
      <c r="M50" s="4" t="s">
        <v>18</v>
      </c>
      <c r="N50" s="4">
        <v>0</v>
      </c>
      <c r="O50" s="3">
        <f>=0</f>
      </c>
    </row>
    <row r="51" spans="1:15" x14ac:dyDescent="0.25">
      <c r="A51" s="2" t="s">
        <v>231</v>
      </c>
      <c r="B51" s="4">
        <v>1</v>
      </c>
      <c r="C51" s="4"/>
      <c r="D51" s="4">
        <v>0</v>
      </c>
      <c r="E51" s="4" t="s">
        <v>102</v>
      </c>
      <c r="F51" s="4">
        <v>0</v>
      </c>
      <c r="G51" s="4" t="s">
        <v>232</v>
      </c>
      <c r="H51" s="4">
        <v>0</v>
      </c>
      <c r="I51" s="4">
        <v>0</v>
      </c>
      <c r="J51" s="4">
        <v>0</v>
      </c>
      <c r="K51" s="4">
        <v>3</v>
      </c>
      <c r="L51" s="4">
        <v>0</v>
      </c>
      <c r="M51" s="4" t="s">
        <v>18</v>
      </c>
      <c r="N51" s="4">
        <v>0</v>
      </c>
      <c r="O51" s="3">
        <f>=0</f>
      </c>
    </row>
    <row r="52" spans="1:15" x14ac:dyDescent="0.25">
      <c r="A52" s="2" t="s">
        <v>233</v>
      </c>
      <c r="B52" s="4">
        <v>1</v>
      </c>
      <c r="C52" s="4"/>
      <c r="D52" s="4">
        <v>0</v>
      </c>
      <c r="E52" s="4" t="s">
        <v>102</v>
      </c>
      <c r="F52" s="4">
        <v>0</v>
      </c>
      <c r="G52" s="4" t="s">
        <v>234</v>
      </c>
      <c r="H52" s="4">
        <v>0</v>
      </c>
      <c r="I52" s="4">
        <v>0</v>
      </c>
      <c r="J52" s="4">
        <v>0</v>
      </c>
      <c r="K52" s="4">
        <v>3</v>
      </c>
      <c r="L52" s="4">
        <v>0</v>
      </c>
      <c r="M52" s="4" t="s">
        <v>18</v>
      </c>
      <c r="N52" s="4">
        <v>0</v>
      </c>
      <c r="O52" s="3">
        <f>=0</f>
      </c>
    </row>
    <row r="53" spans="1:15" x14ac:dyDescent="0.25">
      <c r="A53" s="2" t="s">
        <v>235</v>
      </c>
      <c r="B53" s="4">
        <v>140</v>
      </c>
      <c r="C53" s="4"/>
      <c r="D53" s="4">
        <v>0</v>
      </c>
      <c r="E53" s="4" t="s">
        <v>102</v>
      </c>
      <c r="F53" s="4">
        <v>0</v>
      </c>
      <c r="G53" s="4" t="s">
        <v>236</v>
      </c>
      <c r="H53" s="4">
        <v>0</v>
      </c>
      <c r="I53" s="4">
        <v>0</v>
      </c>
      <c r="J53" s="4">
        <v>0</v>
      </c>
      <c r="K53" s="4">
        <v>3</v>
      </c>
      <c r="L53" s="4">
        <v>0</v>
      </c>
      <c r="M53" s="4" t="s">
        <v>18</v>
      </c>
      <c r="N53" s="4">
        <v>0</v>
      </c>
      <c r="O53" s="3">
        <f>=0</f>
      </c>
    </row>
    <row r="54" spans="1:15" x14ac:dyDescent="0.25">
      <c r="A54" s="2" t="s">
        <v>237</v>
      </c>
      <c r="B54" s="4">
        <v>1</v>
      </c>
      <c r="C54" s="4"/>
      <c r="D54" s="4">
        <v>0</v>
      </c>
      <c r="E54" s="4" t="s">
        <v>102</v>
      </c>
      <c r="F54" s="4">
        <v>0</v>
      </c>
      <c r="G54" s="4" t="s">
        <v>238</v>
      </c>
      <c r="H54" s="4">
        <v>0</v>
      </c>
      <c r="I54" s="4">
        <v>0</v>
      </c>
      <c r="J54" s="4">
        <v>0</v>
      </c>
      <c r="K54" s="4">
        <v>10</v>
      </c>
      <c r="L54" s="4">
        <v>0</v>
      </c>
      <c r="M54" s="4" t="s">
        <v>102</v>
      </c>
      <c r="N54" s="4">
        <v>0</v>
      </c>
      <c r="O54" s="3">
        <f>=0</f>
      </c>
    </row>
    <row r="55" spans="1:15" x14ac:dyDescent="0.25">
      <c r="A55" s="2" t="s">
        <v>239</v>
      </c>
      <c r="B55" s="4">
        <v>1</v>
      </c>
      <c r="C55" s="4"/>
      <c r="D55" s="4">
        <v>0</v>
      </c>
      <c r="E55" s="4" t="s">
        <v>102</v>
      </c>
      <c r="F55" s="4">
        <v>0</v>
      </c>
      <c r="G55" s="4" t="s">
        <v>240</v>
      </c>
      <c r="H55" s="4">
        <v>0</v>
      </c>
      <c r="I55" s="4">
        <v>0</v>
      </c>
      <c r="J55" s="4">
        <v>0</v>
      </c>
      <c r="K55" s="4">
        <v>3</v>
      </c>
      <c r="L55" s="4">
        <v>0</v>
      </c>
      <c r="M55" s="4" t="s">
        <v>18</v>
      </c>
      <c r="N55" s="4">
        <v>0</v>
      </c>
      <c r="O55" s="3">
        <f>=0</f>
      </c>
    </row>
    <row r="56" spans="1:15" x14ac:dyDescent="0.25">
      <c r="A56" s="2" t="s">
        <v>241</v>
      </c>
      <c r="B56" s="4">
        <v>2</v>
      </c>
      <c r="C56" s="4"/>
      <c r="D56" s="4">
        <v>0</v>
      </c>
      <c r="E56" s="4" t="s">
        <v>102</v>
      </c>
      <c r="F56" s="4">
        <v>0</v>
      </c>
      <c r="G56" s="4" t="s">
        <v>242</v>
      </c>
      <c r="H56" s="4">
        <v>0</v>
      </c>
      <c r="I56" s="4">
        <v>0</v>
      </c>
      <c r="J56" s="4">
        <v>0</v>
      </c>
      <c r="K56" s="4">
        <v>4</v>
      </c>
      <c r="L56" s="4">
        <v>0</v>
      </c>
      <c r="M56" s="4" t="s">
        <v>102</v>
      </c>
      <c r="N56" s="4">
        <v>0</v>
      </c>
      <c r="O56" s="3">
        <f>=0</f>
      </c>
    </row>
    <row r="57" spans="1:15" x14ac:dyDescent="0.25">
      <c r="A57" s="2" t="s">
        <v>243</v>
      </c>
      <c r="B57" s="4">
        <v>2</v>
      </c>
      <c r="C57" s="4"/>
      <c r="D57" s="4">
        <v>0</v>
      </c>
      <c r="E57" s="4" t="s">
        <v>102</v>
      </c>
      <c r="F57" s="4">
        <v>0</v>
      </c>
      <c r="G57" s="4" t="s">
        <v>244</v>
      </c>
      <c r="H57" s="4">
        <v>0</v>
      </c>
      <c r="I57" s="4">
        <v>0</v>
      </c>
      <c r="J57" s="4">
        <v>0</v>
      </c>
      <c r="K57" s="4">
        <v>4</v>
      </c>
      <c r="L57" s="4">
        <v>0</v>
      </c>
      <c r="M57" s="4" t="s">
        <v>102</v>
      </c>
      <c r="N57" s="4">
        <v>0</v>
      </c>
      <c r="O57" s="3">
        <f>=0</f>
      </c>
    </row>
    <row r="58" spans="1:15" x14ac:dyDescent="0.25">
      <c r="A58" s="2" t="s">
        <v>245</v>
      </c>
      <c r="B58" s="4">
        <v>1</v>
      </c>
      <c r="C58" s="4"/>
      <c r="D58" s="4">
        <v>0</v>
      </c>
      <c r="E58" s="4" t="s">
        <v>102</v>
      </c>
      <c r="F58" s="4">
        <v>0</v>
      </c>
      <c r="G58" s="4" t="s">
        <v>246</v>
      </c>
      <c r="H58" s="4">
        <v>0</v>
      </c>
      <c r="I58" s="4">
        <v>0</v>
      </c>
      <c r="J58" s="4">
        <v>0</v>
      </c>
      <c r="K58" s="4">
        <v>3</v>
      </c>
      <c r="L58" s="4">
        <v>0</v>
      </c>
      <c r="M58" s="4" t="s">
        <v>18</v>
      </c>
      <c r="N58" s="4">
        <v>0</v>
      </c>
      <c r="O58" s="3">
        <f>=0</f>
      </c>
    </row>
    <row r="59" spans="1:15" x14ac:dyDescent="0.25">
      <c r="A59" s="2" t="s">
        <v>247</v>
      </c>
      <c r="B59" s="4">
        <v>1</v>
      </c>
      <c r="C59" s="4"/>
      <c r="D59" s="4">
        <v>0</v>
      </c>
      <c r="E59" s="4" t="s">
        <v>102</v>
      </c>
      <c r="F59" s="4">
        <v>0</v>
      </c>
      <c r="G59" s="4" t="s">
        <v>248</v>
      </c>
      <c r="H59" s="4">
        <v>0</v>
      </c>
      <c r="I59" s="4">
        <v>0</v>
      </c>
      <c r="J59" s="4">
        <v>0</v>
      </c>
      <c r="K59" s="4">
        <v>3</v>
      </c>
      <c r="L59" s="4">
        <v>0</v>
      </c>
      <c r="M59" s="4" t="s">
        <v>18</v>
      </c>
      <c r="N59" s="4">
        <v>0</v>
      </c>
      <c r="O59" s="3">
        <f>=0</f>
      </c>
    </row>
    <row r="60" spans="1:15" x14ac:dyDescent="0.25">
      <c r="A60" s="2" t="s">
        <v>249</v>
      </c>
      <c r="B60" s="4">
        <v>1</v>
      </c>
      <c r="C60" s="4"/>
      <c r="D60" s="4">
        <v>0</v>
      </c>
      <c r="E60" s="4" t="s">
        <v>102</v>
      </c>
      <c r="F60" s="4">
        <v>0</v>
      </c>
      <c r="G60" s="4" t="s">
        <v>250</v>
      </c>
      <c r="H60" s="4">
        <v>0</v>
      </c>
      <c r="I60" s="4">
        <v>0</v>
      </c>
      <c r="J60" s="4">
        <v>0</v>
      </c>
      <c r="K60" s="4">
        <v>3</v>
      </c>
      <c r="L60" s="4">
        <v>0</v>
      </c>
      <c r="M60" s="4" t="s">
        <v>18</v>
      </c>
      <c r="N60" s="4">
        <v>0</v>
      </c>
      <c r="O60" s="3">
        <f>=0</f>
      </c>
    </row>
    <row r="61" spans="1:15" x14ac:dyDescent="0.25">
      <c r="A61" s="2" t="s">
        <v>251</v>
      </c>
      <c r="B61" s="4">
        <v>1</v>
      </c>
      <c r="C61" s="4"/>
      <c r="D61" s="4">
        <v>0</v>
      </c>
      <c r="E61" s="4" t="s">
        <v>102</v>
      </c>
      <c r="F61" s="4">
        <v>0</v>
      </c>
      <c r="G61" s="4" t="s">
        <v>252</v>
      </c>
      <c r="H61" s="4">
        <v>0</v>
      </c>
      <c r="I61" s="4">
        <v>0</v>
      </c>
      <c r="J61" s="4">
        <v>0</v>
      </c>
      <c r="K61" s="4">
        <v>3</v>
      </c>
      <c r="L61" s="4">
        <v>0</v>
      </c>
      <c r="M61" s="4" t="s">
        <v>18</v>
      </c>
      <c r="N61" s="4">
        <v>0</v>
      </c>
      <c r="O61" s="3">
        <f>=0</f>
      </c>
    </row>
    <row r="62" spans="1:15" x14ac:dyDescent="0.25">
      <c r="A62" s="2" t="s">
        <v>253</v>
      </c>
      <c r="B62" s="4">
        <v>1</v>
      </c>
      <c r="C62" s="4"/>
      <c r="D62" s="4">
        <v>0</v>
      </c>
      <c r="E62" s="4" t="s">
        <v>102</v>
      </c>
      <c r="F62" s="4">
        <v>0</v>
      </c>
      <c r="G62" s="4" t="s">
        <v>254</v>
      </c>
      <c r="H62" s="4">
        <v>0</v>
      </c>
      <c r="I62" s="4">
        <v>0</v>
      </c>
      <c r="J62" s="4">
        <v>0</v>
      </c>
      <c r="K62" s="4">
        <v>10</v>
      </c>
      <c r="L62" s="4">
        <v>0</v>
      </c>
      <c r="M62" s="4" t="s">
        <v>18</v>
      </c>
      <c r="N62" s="4">
        <v>0</v>
      </c>
      <c r="O62" s="3">
        <f>=0</f>
      </c>
    </row>
    <row r="63" spans="1:15" x14ac:dyDescent="0.25">
      <c r="A63" s="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5" t="s">
        <v>25</v>
      </c>
      <c r="O63" s="6">
        <f>=SUM(O2:O62)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255</v>
      </c>
      <c r="B2" s="4">
        <v>1</v>
      </c>
      <c r="C2" s="4" t="s">
        <v>27</v>
      </c>
      <c r="D2" s="4"/>
      <c r="E2" s="4"/>
      <c r="F2" s="4">
        <v>19.5</v>
      </c>
      <c r="G2" s="4" t="s">
        <v>256</v>
      </c>
      <c r="H2" s="4"/>
      <c r="I2" s="4"/>
      <c r="J2" s="4">
        <v>6.08</v>
      </c>
      <c r="K2" s="4">
        <v>3</v>
      </c>
      <c r="L2" s="4"/>
      <c r="M2" s="4" t="s">
        <v>18</v>
      </c>
      <c r="N2" s="4">
        <v>100.5</v>
      </c>
      <c r="O2" s="3">
        <f>=B2*(N2*F2/10000)*J2</f>
      </c>
    </row>
    <row r="3" spans="1:15" x14ac:dyDescent="0.25">
      <c r="A3" s="2" t="s">
        <v>257</v>
      </c>
      <c r="B3" s="4">
        <v>1</v>
      </c>
      <c r="C3" s="4" t="s">
        <v>27</v>
      </c>
      <c r="D3" s="4"/>
      <c r="E3" s="4"/>
      <c r="F3" s="4">
        <v>10</v>
      </c>
      <c r="G3" s="4" t="s">
        <v>258</v>
      </c>
      <c r="H3" s="4"/>
      <c r="I3" s="4"/>
      <c r="J3" s="4">
        <v>6.08</v>
      </c>
      <c r="K3" s="4">
        <v>3</v>
      </c>
      <c r="L3" s="4"/>
      <c r="M3" s="4" t="s">
        <v>18</v>
      </c>
      <c r="N3" s="4">
        <v>103</v>
      </c>
      <c r="O3" s="3">
        <f>=B3*(N3*F3/10000)*J3</f>
      </c>
    </row>
    <row r="4" spans="1:15" x14ac:dyDescent="0.25">
      <c r="A4" s="2" t="s">
        <v>259</v>
      </c>
      <c r="B4" s="4">
        <v>1</v>
      </c>
      <c r="C4" s="4" t="s">
        <v>27</v>
      </c>
      <c r="D4" s="4"/>
      <c r="E4" s="4"/>
      <c r="F4" s="4">
        <v>27</v>
      </c>
      <c r="G4" s="4" t="s">
        <v>260</v>
      </c>
      <c r="H4" s="4"/>
      <c r="I4" s="4"/>
      <c r="J4" s="4">
        <v>6.08</v>
      </c>
      <c r="K4" s="4"/>
      <c r="L4" s="4"/>
      <c r="M4" s="4" t="s">
        <v>18</v>
      </c>
      <c r="N4" s="4">
        <v>103</v>
      </c>
      <c r="O4" s="3">
        <f>=B4*(N4*F4/10000)*J4</f>
      </c>
    </row>
    <row r="5" spans="1:15" x14ac:dyDescent="0.25">
      <c r="A5" s="2" t="s">
        <v>261</v>
      </c>
      <c r="B5" s="4">
        <v>1</v>
      </c>
      <c r="C5" s="4" t="s">
        <v>27</v>
      </c>
      <c r="D5" s="4"/>
      <c r="E5" s="4"/>
      <c r="F5" s="4">
        <v>67</v>
      </c>
      <c r="G5" s="4" t="s">
        <v>262</v>
      </c>
      <c r="H5" s="4"/>
      <c r="I5" s="4"/>
      <c r="J5" s="4">
        <v>6.08</v>
      </c>
      <c r="K5" s="4"/>
      <c r="L5" s="4"/>
      <c r="M5" s="4" t="s">
        <v>18</v>
      </c>
      <c r="N5" s="4">
        <v>115</v>
      </c>
      <c r="O5" s="3">
        <f>=B5*(N5*F5/10000)*J5</f>
      </c>
    </row>
    <row r="6" spans="1:15" x14ac:dyDescent="0.25">
      <c r="A6" s="2" t="s">
        <v>263</v>
      </c>
      <c r="B6" s="4">
        <v>1</v>
      </c>
      <c r="C6" s="4" t="s">
        <v>27</v>
      </c>
      <c r="D6" s="4"/>
      <c r="E6" s="4"/>
      <c r="F6" s="4">
        <v>78</v>
      </c>
      <c r="G6" s="4" t="s">
        <v>264</v>
      </c>
      <c r="H6" s="4"/>
      <c r="I6" s="4"/>
      <c r="J6" s="4">
        <v>6.08</v>
      </c>
      <c r="K6" s="4"/>
      <c r="L6" s="4"/>
      <c r="M6" s="4" t="s">
        <v>18</v>
      </c>
      <c r="N6" s="4">
        <v>13</v>
      </c>
      <c r="O6" s="3">
        <f>=B6*(N6*F6/10000)*J6</f>
      </c>
    </row>
    <row r="7" spans="1:15" x14ac:dyDescent="0.25">
      <c r="A7" s="2" t="s">
        <v>265</v>
      </c>
      <c r="B7" s="4">
        <v>1</v>
      </c>
      <c r="C7" s="4" t="s">
        <v>27</v>
      </c>
      <c r="D7" s="4"/>
      <c r="E7" s="4"/>
      <c r="F7" s="4">
        <v>90</v>
      </c>
      <c r="G7" s="4" t="s">
        <v>266</v>
      </c>
      <c r="H7" s="4"/>
      <c r="I7" s="4"/>
      <c r="J7" s="4">
        <v>6.08</v>
      </c>
      <c r="K7" s="4"/>
      <c r="L7" s="4"/>
      <c r="M7" s="4" t="s">
        <v>18</v>
      </c>
      <c r="N7" s="4">
        <v>13</v>
      </c>
      <c r="O7" s="3">
        <f>=B7*(N7*F7/10000)*J7</f>
      </c>
    </row>
    <row r="8" spans="1:15" x14ac:dyDescent="0.25">
      <c r="A8" s="2" t="s">
        <v>267</v>
      </c>
      <c r="B8" s="4">
        <v>1</v>
      </c>
      <c r="C8" s="4" t="s">
        <v>27</v>
      </c>
      <c r="D8" s="4"/>
      <c r="E8" s="4"/>
      <c r="F8" s="4">
        <v>19</v>
      </c>
      <c r="G8" s="4" t="s">
        <v>268</v>
      </c>
      <c r="H8" s="4"/>
      <c r="I8" s="4"/>
      <c r="J8" s="4">
        <v>6.08</v>
      </c>
      <c r="K8" s="4"/>
      <c r="L8" s="4"/>
      <c r="M8" s="4" t="s">
        <v>18</v>
      </c>
      <c r="N8" s="4">
        <v>140</v>
      </c>
      <c r="O8" s="3">
        <f>=B8*(N8*F8/10000)*J8</f>
      </c>
    </row>
    <row r="9" spans="1:15" x14ac:dyDescent="0.25">
      <c r="A9" s="2" t="s">
        <v>269</v>
      </c>
      <c r="B9" s="4">
        <v>1</v>
      </c>
      <c r="C9" s="4" t="s">
        <v>27</v>
      </c>
      <c r="D9" s="4"/>
      <c r="E9" s="4"/>
      <c r="F9" s="4">
        <v>63</v>
      </c>
      <c r="G9" s="4" t="s">
        <v>270</v>
      </c>
      <c r="H9" s="4"/>
      <c r="I9" s="4"/>
      <c r="J9" s="4">
        <v>6.08</v>
      </c>
      <c r="K9" s="4"/>
      <c r="L9" s="4"/>
      <c r="M9" s="4" t="s">
        <v>18</v>
      </c>
      <c r="N9" s="4">
        <v>16</v>
      </c>
      <c r="O9" s="3">
        <f>=B9*(N9*F9/10000)*J9</f>
      </c>
    </row>
    <row r="10" spans="1:15" x14ac:dyDescent="0.25">
      <c r="A10" s="2" t="s">
        <v>271</v>
      </c>
      <c r="B10" s="4">
        <v>73</v>
      </c>
      <c r="C10" s="4" t="s">
        <v>27</v>
      </c>
      <c r="D10" s="4"/>
      <c r="E10" s="4"/>
      <c r="F10" s="4">
        <v>10</v>
      </c>
      <c r="G10" s="4" t="s">
        <v>272</v>
      </c>
      <c r="H10" s="4"/>
      <c r="I10" s="4"/>
      <c r="J10" s="4">
        <v>6.08</v>
      </c>
      <c r="K10" s="4"/>
      <c r="L10" s="4"/>
      <c r="M10" s="4" t="s">
        <v>18</v>
      </c>
      <c r="N10" s="4">
        <v>20</v>
      </c>
      <c r="O10" s="3">
        <f>=B10*(N10*F10/10000)*J10</f>
      </c>
    </row>
    <row r="11" spans="1:15" x14ac:dyDescent="0.25">
      <c r="A11" s="2" t="s">
        <v>273</v>
      </c>
      <c r="B11" s="4">
        <v>42</v>
      </c>
      <c r="C11" s="4" t="s">
        <v>27</v>
      </c>
      <c r="D11" s="4"/>
      <c r="E11" s="4"/>
      <c r="F11" s="4">
        <v>15</v>
      </c>
      <c r="G11" s="4" t="s">
        <v>274</v>
      </c>
      <c r="H11" s="4"/>
      <c r="I11" s="4"/>
      <c r="J11" s="4">
        <v>6.08</v>
      </c>
      <c r="K11" s="4"/>
      <c r="L11" s="4"/>
      <c r="M11" s="4" t="s">
        <v>18</v>
      </c>
      <c r="N11" s="4">
        <v>21</v>
      </c>
      <c r="O11" s="3">
        <f>=B11*(N11*F11/10000)*J11</f>
      </c>
    </row>
    <row r="12" spans="1:15" x14ac:dyDescent="0.25">
      <c r="A12" s="2" t="s">
        <v>275</v>
      </c>
      <c r="B12" s="4">
        <v>1</v>
      </c>
      <c r="C12" s="4" t="s">
        <v>27</v>
      </c>
      <c r="D12" s="4"/>
      <c r="E12" s="4"/>
      <c r="F12" s="4">
        <v>31</v>
      </c>
      <c r="G12" s="4" t="s">
        <v>276</v>
      </c>
      <c r="H12" s="4"/>
      <c r="I12" s="4"/>
      <c r="J12" s="4">
        <v>6.08</v>
      </c>
      <c r="K12" s="4"/>
      <c r="L12" s="4"/>
      <c r="M12" s="4" t="s">
        <v>18</v>
      </c>
      <c r="N12" s="4">
        <v>22</v>
      </c>
      <c r="O12" s="3">
        <f>=B12*(N12*F12/10000)*J12</f>
      </c>
    </row>
    <row r="13" spans="1:15" x14ac:dyDescent="0.25">
      <c r="A13" s="2" t="s">
        <v>277</v>
      </c>
      <c r="B13" s="4">
        <v>1</v>
      </c>
      <c r="C13" s="4" t="s">
        <v>27</v>
      </c>
      <c r="D13" s="4"/>
      <c r="E13" s="4"/>
      <c r="F13" s="4">
        <v>50</v>
      </c>
      <c r="G13" s="4" t="s">
        <v>278</v>
      </c>
      <c r="H13" s="4"/>
      <c r="I13" s="4"/>
      <c r="J13" s="4">
        <v>6.08</v>
      </c>
      <c r="K13" s="4"/>
      <c r="L13" s="4"/>
      <c r="M13" s="4" t="s">
        <v>18</v>
      </c>
      <c r="N13" s="4">
        <v>23.5</v>
      </c>
      <c r="O13" s="3">
        <f>=B13*(N13*F13/10000)*J13</f>
      </c>
    </row>
    <row r="14" spans="1:15" x14ac:dyDescent="0.25">
      <c r="A14" s="2" t="s">
        <v>279</v>
      </c>
      <c r="B14" s="4">
        <v>1</v>
      </c>
      <c r="C14" s="4" t="s">
        <v>27</v>
      </c>
      <c r="D14" s="4"/>
      <c r="E14" s="4"/>
      <c r="F14" s="4">
        <v>18</v>
      </c>
      <c r="G14" s="4" t="s">
        <v>280</v>
      </c>
      <c r="H14" s="4"/>
      <c r="I14" s="4"/>
      <c r="J14" s="4">
        <v>6.08</v>
      </c>
      <c r="K14" s="4"/>
      <c r="L14" s="4"/>
      <c r="M14" s="4" t="s">
        <v>18</v>
      </c>
      <c r="N14" s="4">
        <v>245</v>
      </c>
      <c r="O14" s="3">
        <f>=B14*(N14*F14/10000)*J14</f>
      </c>
    </row>
    <row r="15" spans="1:15" x14ac:dyDescent="0.25">
      <c r="A15" s="2" t="s">
        <v>281</v>
      </c>
      <c r="B15" s="4">
        <v>1</v>
      </c>
      <c r="C15" s="4" t="s">
        <v>27</v>
      </c>
      <c r="D15" s="4"/>
      <c r="E15" s="4"/>
      <c r="F15" s="4">
        <v>64</v>
      </c>
      <c r="G15" s="4" t="s">
        <v>282</v>
      </c>
      <c r="H15" s="4"/>
      <c r="I15" s="4"/>
      <c r="J15" s="4">
        <v>6.08</v>
      </c>
      <c r="K15" s="4"/>
      <c r="L15" s="4"/>
      <c r="M15" s="4" t="s">
        <v>18</v>
      </c>
      <c r="N15" s="4">
        <v>25</v>
      </c>
      <c r="O15" s="3">
        <f>=B15*(N15*F15/10000)*J15</f>
      </c>
    </row>
    <row r="16" spans="1:15" x14ac:dyDescent="0.25">
      <c r="A16" s="2" t="s">
        <v>283</v>
      </c>
      <c r="B16" s="4">
        <v>1</v>
      </c>
      <c r="C16" s="4" t="s">
        <v>27</v>
      </c>
      <c r="D16" s="4"/>
      <c r="E16" s="4"/>
      <c r="F16" s="4">
        <v>78</v>
      </c>
      <c r="G16" s="4" t="s">
        <v>284</v>
      </c>
      <c r="H16" s="4"/>
      <c r="I16" s="4"/>
      <c r="J16" s="4">
        <v>6.08</v>
      </c>
      <c r="K16" s="4"/>
      <c r="L16" s="4"/>
      <c r="M16" s="4" t="s">
        <v>18</v>
      </c>
      <c r="N16" s="4">
        <v>25</v>
      </c>
      <c r="O16" s="3">
        <f>=B16*(N16*F16/10000)*J16</f>
      </c>
    </row>
    <row r="17" spans="1:15" x14ac:dyDescent="0.25">
      <c r="A17" s="2" t="s">
        <v>285</v>
      </c>
      <c r="B17" s="4">
        <v>1</v>
      </c>
      <c r="C17" s="4" t="s">
        <v>27</v>
      </c>
      <c r="D17" s="4"/>
      <c r="E17" s="4"/>
      <c r="F17" s="4">
        <v>90</v>
      </c>
      <c r="G17" s="4" t="s">
        <v>286</v>
      </c>
      <c r="H17" s="4"/>
      <c r="I17" s="4"/>
      <c r="J17" s="4">
        <v>6.08</v>
      </c>
      <c r="K17" s="4"/>
      <c r="L17" s="4"/>
      <c r="M17" s="4" t="s">
        <v>18</v>
      </c>
      <c r="N17" s="4">
        <v>26</v>
      </c>
      <c r="O17" s="3">
        <f>=B17*(N17*F17/10000)*J17</f>
      </c>
    </row>
    <row r="18" spans="1:15" x14ac:dyDescent="0.25">
      <c r="A18" s="2" t="s">
        <v>287</v>
      </c>
      <c r="B18" s="4">
        <v>1</v>
      </c>
      <c r="C18" s="4" t="s">
        <v>27</v>
      </c>
      <c r="D18" s="4"/>
      <c r="E18" s="4"/>
      <c r="F18" s="4">
        <v>43</v>
      </c>
      <c r="G18" s="4" t="s">
        <v>288</v>
      </c>
      <c r="H18" s="4"/>
      <c r="I18" s="4"/>
      <c r="J18" s="4">
        <v>6.08</v>
      </c>
      <c r="K18" s="4"/>
      <c r="L18" s="4"/>
      <c r="M18" s="4" t="s">
        <v>18</v>
      </c>
      <c r="N18" s="4">
        <v>27</v>
      </c>
      <c r="O18" s="3">
        <f>=B18*(N18*F18/10000)*J18</f>
      </c>
    </row>
    <row r="19" spans="1:15" x14ac:dyDescent="0.25">
      <c r="A19" s="2" t="s">
        <v>289</v>
      </c>
      <c r="B19" s="4">
        <v>1</v>
      </c>
      <c r="C19" s="4" t="s">
        <v>27</v>
      </c>
      <c r="D19" s="4"/>
      <c r="E19" s="4"/>
      <c r="F19" s="4">
        <v>33</v>
      </c>
      <c r="G19" s="4" t="s">
        <v>290</v>
      </c>
      <c r="H19" s="4"/>
      <c r="I19" s="4"/>
      <c r="J19" s="4">
        <v>6.08</v>
      </c>
      <c r="K19" s="4"/>
      <c r="L19" s="4"/>
      <c r="M19" s="4" t="s">
        <v>18</v>
      </c>
      <c r="N19" s="4">
        <v>28</v>
      </c>
      <c r="O19" s="3">
        <f>=B19*(N19*F19/10000)*J19</f>
      </c>
    </row>
    <row r="20" spans="1:15" x14ac:dyDescent="0.25">
      <c r="A20" s="2" t="s">
        <v>291</v>
      </c>
      <c r="B20" s="4">
        <v>1</v>
      </c>
      <c r="C20" s="4" t="s">
        <v>27</v>
      </c>
      <c r="D20" s="4"/>
      <c r="E20" s="4"/>
      <c r="F20" s="4">
        <v>19</v>
      </c>
      <c r="G20" s="4" t="s">
        <v>292</v>
      </c>
      <c r="H20" s="4"/>
      <c r="I20" s="4"/>
      <c r="J20" s="4">
        <v>6.08</v>
      </c>
      <c r="K20" s="4"/>
      <c r="L20" s="4"/>
      <c r="M20" s="4" t="s">
        <v>18</v>
      </c>
      <c r="N20" s="4">
        <v>29.5</v>
      </c>
      <c r="O20" s="3">
        <f>=B20*(N20*F20/10000)*J20</f>
      </c>
    </row>
    <row r="21" spans="1:15" x14ac:dyDescent="0.25">
      <c r="A21" s="2" t="s">
        <v>293</v>
      </c>
      <c r="B21" s="4">
        <v>1</v>
      </c>
      <c r="C21" s="4" t="s">
        <v>27</v>
      </c>
      <c r="D21" s="4"/>
      <c r="E21" s="4"/>
      <c r="F21" s="4">
        <v>34</v>
      </c>
      <c r="G21" s="4" t="s">
        <v>294</v>
      </c>
      <c r="H21" s="4"/>
      <c r="I21" s="4"/>
      <c r="J21" s="4">
        <v>6.08</v>
      </c>
      <c r="K21" s="4"/>
      <c r="L21" s="4"/>
      <c r="M21" s="4" t="s">
        <v>18</v>
      </c>
      <c r="N21" s="4">
        <v>29</v>
      </c>
      <c r="O21" s="3">
        <f>=B21*(N21*F21/10000)*J21</f>
      </c>
    </row>
    <row r="22" spans="1:15" x14ac:dyDescent="0.25">
      <c r="A22" s="2" t="s">
        <v>295</v>
      </c>
      <c r="B22" s="4">
        <v>1</v>
      </c>
      <c r="C22" s="4" t="s">
        <v>27</v>
      </c>
      <c r="D22" s="4"/>
      <c r="E22" s="4"/>
      <c r="F22" s="4">
        <v>27.5</v>
      </c>
      <c r="G22" s="4" t="s">
        <v>296</v>
      </c>
      <c r="H22" s="4"/>
      <c r="I22" s="4"/>
      <c r="J22" s="4">
        <v>6.08</v>
      </c>
      <c r="K22" s="4"/>
      <c r="L22" s="4"/>
      <c r="M22" s="4" t="s">
        <v>18</v>
      </c>
      <c r="N22" s="4">
        <v>30</v>
      </c>
      <c r="O22" s="3">
        <f>=B22*(N22*F22/10000)*J22</f>
      </c>
    </row>
    <row r="23" spans="1:15" x14ac:dyDescent="0.25">
      <c r="A23" s="2" t="s">
        <v>297</v>
      </c>
      <c r="B23" s="4">
        <v>1</v>
      </c>
      <c r="C23" s="4" t="s">
        <v>27</v>
      </c>
      <c r="D23" s="4"/>
      <c r="E23" s="4"/>
      <c r="F23" s="4">
        <v>44</v>
      </c>
      <c r="G23" s="4" t="s">
        <v>298</v>
      </c>
      <c r="H23" s="4"/>
      <c r="I23" s="4"/>
      <c r="J23" s="4">
        <v>6.08</v>
      </c>
      <c r="K23" s="4"/>
      <c r="L23" s="4"/>
      <c r="M23" s="4" t="s">
        <v>18</v>
      </c>
      <c r="N23" s="4">
        <v>32</v>
      </c>
      <c r="O23" s="3">
        <f>=B23*(N23*F23/10000)*J23</f>
      </c>
    </row>
    <row r="24" spans="1:15" x14ac:dyDescent="0.25">
      <c r="A24" s="2" t="s">
        <v>299</v>
      </c>
      <c r="B24" s="4">
        <v>1</v>
      </c>
      <c r="C24" s="4" t="s">
        <v>27</v>
      </c>
      <c r="D24" s="4"/>
      <c r="E24" s="4"/>
      <c r="F24" s="4">
        <v>32</v>
      </c>
      <c r="G24" s="4" t="s">
        <v>300</v>
      </c>
      <c r="H24" s="4"/>
      <c r="I24" s="4"/>
      <c r="J24" s="4">
        <v>6.08</v>
      </c>
      <c r="K24" s="4"/>
      <c r="L24" s="4"/>
      <c r="M24" s="4" t="s">
        <v>18</v>
      </c>
      <c r="N24" s="4">
        <v>36</v>
      </c>
      <c r="O24" s="3">
        <f>=B24*(N24*F24/10000)*J24</f>
      </c>
    </row>
    <row r="25" spans="1:15" x14ac:dyDescent="0.25">
      <c r="A25" s="2" t="s">
        <v>301</v>
      </c>
      <c r="B25" s="4">
        <v>1</v>
      </c>
      <c r="C25" s="4" t="s">
        <v>27</v>
      </c>
      <c r="D25" s="4"/>
      <c r="E25" s="4"/>
      <c r="F25" s="4">
        <v>30</v>
      </c>
      <c r="G25" s="4" t="s">
        <v>302</v>
      </c>
      <c r="H25" s="4"/>
      <c r="I25" s="4"/>
      <c r="J25" s="4">
        <v>6.08</v>
      </c>
      <c r="K25" s="4"/>
      <c r="L25" s="4"/>
      <c r="M25" s="4" t="s">
        <v>18</v>
      </c>
      <c r="N25" s="4">
        <v>375</v>
      </c>
      <c r="O25" s="3">
        <f>=B25*(N25*F25/10000)*J25</f>
      </c>
    </row>
    <row r="26" spans="1:15" x14ac:dyDescent="0.25">
      <c r="A26" s="2" t="s">
        <v>303</v>
      </c>
      <c r="B26" s="4">
        <v>1</v>
      </c>
      <c r="C26" s="4" t="s">
        <v>27</v>
      </c>
      <c r="D26" s="4"/>
      <c r="E26" s="4"/>
      <c r="F26" s="4">
        <v>15.5</v>
      </c>
      <c r="G26" s="4" t="s">
        <v>304</v>
      </c>
      <c r="H26" s="4"/>
      <c r="I26" s="4"/>
      <c r="J26" s="4">
        <v>6.08</v>
      </c>
      <c r="K26" s="4"/>
      <c r="L26" s="4"/>
      <c r="M26" s="4" t="s">
        <v>18</v>
      </c>
      <c r="N26" s="4">
        <v>39</v>
      </c>
      <c r="O26" s="3">
        <f>=B26*(N26*F26/10000)*J26</f>
      </c>
    </row>
    <row r="27" spans="1:15" x14ac:dyDescent="0.25">
      <c r="A27" s="2" t="s">
        <v>305</v>
      </c>
      <c r="B27" s="4">
        <v>1</v>
      </c>
      <c r="C27" s="4" t="s">
        <v>27</v>
      </c>
      <c r="D27" s="4"/>
      <c r="E27" s="4"/>
      <c r="F27" s="4">
        <v>18</v>
      </c>
      <c r="G27" s="4" t="s">
        <v>306</v>
      </c>
      <c r="H27" s="4"/>
      <c r="I27" s="4"/>
      <c r="J27" s="4">
        <v>6.08</v>
      </c>
      <c r="K27" s="4"/>
      <c r="L27" s="4"/>
      <c r="M27" s="4" t="s">
        <v>18</v>
      </c>
      <c r="N27" s="4">
        <v>40</v>
      </c>
      <c r="O27" s="3">
        <f>=B27*(N27*F27/10000)*J27</f>
      </c>
    </row>
    <row r="28" spans="1:15" x14ac:dyDescent="0.25">
      <c r="A28" s="2" t="s">
        <v>307</v>
      </c>
      <c r="B28" s="4">
        <v>1</v>
      </c>
      <c r="C28" s="4" t="s">
        <v>27</v>
      </c>
      <c r="D28" s="4"/>
      <c r="E28" s="4"/>
      <c r="F28" s="4">
        <v>40</v>
      </c>
      <c r="G28" s="4" t="s">
        <v>308</v>
      </c>
      <c r="H28" s="4"/>
      <c r="I28" s="4"/>
      <c r="J28" s="4">
        <v>6.08</v>
      </c>
      <c r="K28" s="4"/>
      <c r="L28" s="4"/>
      <c r="M28" s="4" t="s">
        <v>18</v>
      </c>
      <c r="N28" s="4">
        <v>40</v>
      </c>
      <c r="O28" s="3">
        <f>=B28*(N28*F28/10000)*J28</f>
      </c>
    </row>
    <row r="29" spans="1:15" x14ac:dyDescent="0.25">
      <c r="A29" s="2" t="s">
        <v>309</v>
      </c>
      <c r="B29" s="4">
        <v>1</v>
      </c>
      <c r="C29" s="4" t="s">
        <v>27</v>
      </c>
      <c r="D29" s="4"/>
      <c r="E29" s="4"/>
      <c r="F29" s="4">
        <v>46</v>
      </c>
      <c r="G29" s="4" t="s">
        <v>310</v>
      </c>
      <c r="H29" s="4"/>
      <c r="I29" s="4"/>
      <c r="J29" s="4">
        <v>6.08</v>
      </c>
      <c r="K29" s="4"/>
      <c r="L29" s="4"/>
      <c r="M29" s="4" t="s">
        <v>18</v>
      </c>
      <c r="N29" s="4">
        <v>47</v>
      </c>
      <c r="O29" s="3">
        <f>=B29*(N29*F29/10000)*J29</f>
      </c>
    </row>
    <row r="30" spans="1:15" x14ac:dyDescent="0.25">
      <c r="A30" s="2" t="s">
        <v>311</v>
      </c>
      <c r="B30" s="4">
        <v>1</v>
      </c>
      <c r="C30" s="4" t="s">
        <v>27</v>
      </c>
      <c r="D30" s="4"/>
      <c r="E30" s="4"/>
      <c r="F30" s="4">
        <v>29</v>
      </c>
      <c r="G30" s="4" t="s">
        <v>312</v>
      </c>
      <c r="H30" s="4"/>
      <c r="I30" s="4"/>
      <c r="J30" s="4">
        <v>6.08</v>
      </c>
      <c r="K30" s="4"/>
      <c r="L30" s="4"/>
      <c r="M30" s="4" t="s">
        <v>18</v>
      </c>
      <c r="N30" s="4">
        <v>49</v>
      </c>
      <c r="O30" s="3">
        <f>=B30*(N30*F30/10000)*J30</f>
      </c>
    </row>
    <row r="31" spans="1:15" x14ac:dyDescent="0.25">
      <c r="A31" s="2" t="s">
        <v>313</v>
      </c>
      <c r="B31" s="4">
        <v>1</v>
      </c>
      <c r="C31" s="4" t="s">
        <v>27</v>
      </c>
      <c r="D31" s="4"/>
      <c r="E31" s="4"/>
      <c r="F31" s="4">
        <v>48</v>
      </c>
      <c r="G31" s="4" t="s">
        <v>314</v>
      </c>
      <c r="H31" s="4"/>
      <c r="I31" s="4"/>
      <c r="J31" s="4">
        <v>6.08</v>
      </c>
      <c r="K31" s="4"/>
      <c r="L31" s="4"/>
      <c r="M31" s="4" t="s">
        <v>18</v>
      </c>
      <c r="N31" s="4">
        <v>49</v>
      </c>
      <c r="O31" s="3">
        <f>=B31*(N31*F31/10000)*J31</f>
      </c>
    </row>
    <row r="32" spans="1:15" x14ac:dyDescent="0.25">
      <c r="A32" s="2" t="s">
        <v>315</v>
      </c>
      <c r="B32" s="4">
        <v>3</v>
      </c>
      <c r="C32" s="4" t="s">
        <v>27</v>
      </c>
      <c r="D32" s="4"/>
      <c r="E32" s="4"/>
      <c r="F32" s="4">
        <v>50</v>
      </c>
      <c r="G32" s="4" t="s">
        <v>316</v>
      </c>
      <c r="H32" s="4"/>
      <c r="I32" s="4"/>
      <c r="J32" s="4">
        <v>6.08</v>
      </c>
      <c r="K32" s="4"/>
      <c r="L32" s="4"/>
      <c r="M32" s="4" t="s">
        <v>18</v>
      </c>
      <c r="N32" s="4">
        <v>50</v>
      </c>
      <c r="O32" s="3">
        <f>=B32*(N32*F32/10000)*J32</f>
      </c>
    </row>
    <row r="33" spans="1:15" x14ac:dyDescent="0.25">
      <c r="A33" s="2" t="s">
        <v>317</v>
      </c>
      <c r="B33" s="4">
        <v>1</v>
      </c>
      <c r="C33" s="4" t="s">
        <v>27</v>
      </c>
      <c r="D33" s="4"/>
      <c r="E33" s="4"/>
      <c r="F33" s="4">
        <v>10</v>
      </c>
      <c r="G33" s="4" t="s">
        <v>318</v>
      </c>
      <c r="H33" s="4"/>
      <c r="I33" s="4"/>
      <c r="J33" s="4">
        <v>6.08</v>
      </c>
      <c r="K33" s="4"/>
      <c r="L33" s="4"/>
      <c r="M33" s="4" t="s">
        <v>18</v>
      </c>
      <c r="N33" s="4">
        <v>50</v>
      </c>
      <c r="O33" s="3">
        <f>=B33*(N33*F33/10000)*J33</f>
      </c>
    </row>
    <row r="34" spans="1:15" x14ac:dyDescent="0.25">
      <c r="A34" s="2" t="s">
        <v>319</v>
      </c>
      <c r="B34" s="4">
        <v>1</v>
      </c>
      <c r="C34" s="4" t="s">
        <v>27</v>
      </c>
      <c r="D34" s="4"/>
      <c r="E34" s="4"/>
      <c r="F34" s="4">
        <v>14</v>
      </c>
      <c r="G34" s="4" t="s">
        <v>320</v>
      </c>
      <c r="H34" s="4"/>
      <c r="I34" s="4"/>
      <c r="J34" s="4">
        <v>6.08</v>
      </c>
      <c r="K34" s="4"/>
      <c r="L34" s="4"/>
      <c r="M34" s="4" t="s">
        <v>18</v>
      </c>
      <c r="N34" s="4">
        <v>50</v>
      </c>
      <c r="O34" s="3">
        <f>=B34*(N34*F34/10000)*J34</f>
      </c>
    </row>
    <row r="35" spans="1:15" x14ac:dyDescent="0.25">
      <c r="A35" s="2" t="s">
        <v>321</v>
      </c>
      <c r="B35" s="4">
        <v>1</v>
      </c>
      <c r="C35" s="4" t="s">
        <v>27</v>
      </c>
      <c r="D35" s="4"/>
      <c r="E35" s="4"/>
      <c r="F35" s="4">
        <v>46</v>
      </c>
      <c r="G35" s="4" t="s">
        <v>322</v>
      </c>
      <c r="H35" s="4"/>
      <c r="I35" s="4"/>
      <c r="J35" s="4">
        <v>6.08</v>
      </c>
      <c r="K35" s="4"/>
      <c r="L35" s="4"/>
      <c r="M35" s="4" t="s">
        <v>18</v>
      </c>
      <c r="N35" s="4">
        <v>52</v>
      </c>
      <c r="O35" s="3">
        <f>=B35*(N35*F35/10000)*J35</f>
      </c>
    </row>
    <row r="36" spans="1:15" x14ac:dyDescent="0.25">
      <c r="A36" s="2" t="s">
        <v>323</v>
      </c>
      <c r="B36" s="4">
        <v>1</v>
      </c>
      <c r="C36" s="4" t="s">
        <v>27</v>
      </c>
      <c r="D36" s="4"/>
      <c r="E36" s="4"/>
      <c r="F36" s="4">
        <v>40</v>
      </c>
      <c r="G36" s="4" t="s">
        <v>324</v>
      </c>
      <c r="H36" s="4"/>
      <c r="I36" s="4"/>
      <c r="J36" s="4">
        <v>6.08</v>
      </c>
      <c r="K36" s="4"/>
      <c r="L36" s="4"/>
      <c r="M36" s="4" t="s">
        <v>18</v>
      </c>
      <c r="N36" s="4">
        <v>55</v>
      </c>
      <c r="O36" s="3">
        <f>=B36*(N36*F36/10000)*J36</f>
      </c>
    </row>
    <row r="37" spans="1:15" x14ac:dyDescent="0.25">
      <c r="A37" s="2" t="s">
        <v>325</v>
      </c>
      <c r="B37" s="4">
        <v>1</v>
      </c>
      <c r="C37" s="4" t="s">
        <v>27</v>
      </c>
      <c r="D37" s="4"/>
      <c r="E37" s="4"/>
      <c r="F37" s="4">
        <v>16</v>
      </c>
      <c r="G37" s="4" t="s">
        <v>326</v>
      </c>
      <c r="H37" s="4"/>
      <c r="I37" s="4"/>
      <c r="J37" s="4">
        <v>6.08</v>
      </c>
      <c r="K37" s="4"/>
      <c r="L37" s="4"/>
      <c r="M37" s="4" t="s">
        <v>18</v>
      </c>
      <c r="N37" s="4">
        <v>62</v>
      </c>
      <c r="O37" s="3">
        <f>=B37*(N37*F37/10000)*J37</f>
      </c>
    </row>
    <row r="38" spans="1:15" x14ac:dyDescent="0.25">
      <c r="A38" s="2" t="s">
        <v>327</v>
      </c>
      <c r="B38" s="4">
        <v>1</v>
      </c>
      <c r="C38" s="4" t="s">
        <v>27</v>
      </c>
      <c r="D38" s="4"/>
      <c r="E38" s="4"/>
      <c r="F38" s="4">
        <v>30</v>
      </c>
      <c r="G38" s="4" t="s">
        <v>328</v>
      </c>
      <c r="H38" s="4"/>
      <c r="I38" s="4"/>
      <c r="J38" s="4">
        <v>6.08</v>
      </c>
      <c r="K38" s="4"/>
      <c r="L38" s="4"/>
      <c r="M38" s="4" t="s">
        <v>18</v>
      </c>
      <c r="N38" s="4">
        <v>62</v>
      </c>
      <c r="O38" s="3">
        <f>=B38*(N38*F38/10000)*J38</f>
      </c>
    </row>
    <row r="39" spans="1:15" x14ac:dyDescent="0.25">
      <c r="A39" s="2" t="s">
        <v>329</v>
      </c>
      <c r="B39" s="4">
        <v>1</v>
      </c>
      <c r="C39" s="4" t="s">
        <v>27</v>
      </c>
      <c r="D39" s="4"/>
      <c r="E39" s="4"/>
      <c r="F39" s="4">
        <v>19</v>
      </c>
      <c r="G39" s="4" t="s">
        <v>330</v>
      </c>
      <c r="H39" s="4"/>
      <c r="I39" s="4"/>
      <c r="J39" s="4">
        <v>6.08</v>
      </c>
      <c r="K39" s="4"/>
      <c r="L39" s="4"/>
      <c r="M39" s="4" t="s">
        <v>18</v>
      </c>
      <c r="N39" s="4">
        <v>66</v>
      </c>
      <c r="O39" s="3">
        <f>=B39*(N39*F39/10000)*J39</f>
      </c>
    </row>
    <row r="40" spans="1:15" x14ac:dyDescent="0.25">
      <c r="A40" s="2" t="s">
        <v>331</v>
      </c>
      <c r="B40" s="4">
        <v>3</v>
      </c>
      <c r="C40" s="4" t="s">
        <v>27</v>
      </c>
      <c r="D40" s="4"/>
      <c r="E40" s="4"/>
      <c r="F40" s="4">
        <v>20</v>
      </c>
      <c r="G40" s="4" t="s">
        <v>332</v>
      </c>
      <c r="H40" s="4"/>
      <c r="I40" s="4"/>
      <c r="J40" s="4">
        <v>6.08</v>
      </c>
      <c r="K40" s="4"/>
      <c r="L40" s="4"/>
      <c r="M40" s="4" t="s">
        <v>18</v>
      </c>
      <c r="N40" s="4">
        <v>70</v>
      </c>
      <c r="O40" s="3">
        <f>=B40*(N40*F40/10000)*J40</f>
      </c>
    </row>
    <row r="41" spans="1:15" x14ac:dyDescent="0.25">
      <c r="A41" s="2" t="s">
        <v>333</v>
      </c>
      <c r="B41" s="4">
        <v>1</v>
      </c>
      <c r="C41" s="4" t="s">
        <v>27</v>
      </c>
      <c r="D41" s="4"/>
      <c r="E41" s="4"/>
      <c r="F41" s="4">
        <v>22</v>
      </c>
      <c r="G41" s="4" t="s">
        <v>334</v>
      </c>
      <c r="H41" s="4"/>
      <c r="I41" s="4"/>
      <c r="J41" s="4">
        <v>6.08</v>
      </c>
      <c r="K41" s="4"/>
      <c r="L41" s="4"/>
      <c r="M41" s="4" t="s">
        <v>18</v>
      </c>
      <c r="N41" s="4">
        <v>71</v>
      </c>
      <c r="O41" s="3">
        <f>=B41*(N41*F41/10000)*J41</f>
      </c>
    </row>
    <row r="42" spans="1:15" x14ac:dyDescent="0.25">
      <c r="A42" s="2" t="s">
        <v>335</v>
      </c>
      <c r="B42" s="4">
        <v>1</v>
      </c>
      <c r="C42" s="4" t="s">
        <v>27</v>
      </c>
      <c r="D42" s="4"/>
      <c r="E42" s="4"/>
      <c r="F42" s="4">
        <v>16</v>
      </c>
      <c r="G42" s="4" t="s">
        <v>336</v>
      </c>
      <c r="H42" s="4"/>
      <c r="I42" s="4"/>
      <c r="J42" s="4">
        <v>6.08</v>
      </c>
      <c r="K42" s="4"/>
      <c r="L42" s="4"/>
      <c r="M42" s="4" t="s">
        <v>18</v>
      </c>
      <c r="N42" s="4">
        <v>74</v>
      </c>
      <c r="O42" s="3">
        <f>=B42*(N42*F42/10000)*J42</f>
      </c>
    </row>
    <row r="43" spans="1:15" x14ac:dyDescent="0.25">
      <c r="A43" s="2" t="s">
        <v>337</v>
      </c>
      <c r="B43" s="4">
        <v>1</v>
      </c>
      <c r="C43" s="4" t="s">
        <v>27</v>
      </c>
      <c r="D43" s="4"/>
      <c r="E43" s="4"/>
      <c r="F43" s="4">
        <v>28.5</v>
      </c>
      <c r="G43" s="4" t="s">
        <v>338</v>
      </c>
      <c r="H43" s="4"/>
      <c r="I43" s="4"/>
      <c r="J43" s="4">
        <v>6.08</v>
      </c>
      <c r="K43" s="4"/>
      <c r="L43" s="4"/>
      <c r="M43" s="4" t="s">
        <v>18</v>
      </c>
      <c r="N43" s="4">
        <v>75</v>
      </c>
      <c r="O43" s="3">
        <f>=B43*(N43*F43/10000)*J43</f>
      </c>
    </row>
    <row r="44" spans="1:15" x14ac:dyDescent="0.25">
      <c r="A44" s="2" t="s">
        <v>339</v>
      </c>
      <c r="B44" s="4">
        <v>1</v>
      </c>
      <c r="C44" s="4" t="s">
        <v>27</v>
      </c>
      <c r="D44" s="4"/>
      <c r="E44" s="4"/>
      <c r="F44" s="4">
        <v>20</v>
      </c>
      <c r="G44" s="4" t="s">
        <v>340</v>
      </c>
      <c r="H44" s="4"/>
      <c r="I44" s="4"/>
      <c r="J44" s="4">
        <v>6.08</v>
      </c>
      <c r="K44" s="4"/>
      <c r="L44" s="4"/>
      <c r="M44" s="4" t="s">
        <v>18</v>
      </c>
      <c r="N44" s="4">
        <v>82</v>
      </c>
      <c r="O44" s="3">
        <f>=B44*(N44*F44/10000)*J44</f>
      </c>
    </row>
    <row r="45" spans="1:15" x14ac:dyDescent="0.25">
      <c r="A45" s="2" t="s">
        <v>341</v>
      </c>
      <c r="B45" s="4">
        <v>1</v>
      </c>
      <c r="C45" s="4" t="s">
        <v>27</v>
      </c>
      <c r="D45" s="4"/>
      <c r="E45" s="4"/>
      <c r="F45" s="4">
        <v>37</v>
      </c>
      <c r="G45" s="4" t="s">
        <v>342</v>
      </c>
      <c r="H45" s="4"/>
      <c r="I45" s="4"/>
      <c r="J45" s="4">
        <v>6.08</v>
      </c>
      <c r="K45" s="4"/>
      <c r="L45" s="4"/>
      <c r="M45" s="4" t="s">
        <v>18</v>
      </c>
      <c r="N45" s="4">
        <v>88</v>
      </c>
      <c r="O45" s="3">
        <f>=B45*(N45*F45/10000)*J45</f>
      </c>
    </row>
    <row r="46" spans="1:15" x14ac:dyDescent="0.25">
      <c r="A46" s="2" t="s">
        <v>343</v>
      </c>
      <c r="B46" s="4">
        <v>1</v>
      </c>
      <c r="C46" s="4" t="s">
        <v>27</v>
      </c>
      <c r="D46" s="4"/>
      <c r="E46" s="4"/>
      <c r="F46" s="4">
        <v>23</v>
      </c>
      <c r="G46" s="4" t="s">
        <v>344</v>
      </c>
      <c r="H46" s="4"/>
      <c r="I46" s="4"/>
      <c r="J46" s="4">
        <v>6.08</v>
      </c>
      <c r="K46" s="4"/>
      <c r="L46" s="4"/>
      <c r="M46" s="4" t="s">
        <v>18</v>
      </c>
      <c r="N46" s="4">
        <v>94</v>
      </c>
      <c r="O46" s="3">
        <f>=B46*(N46*F46/10000)*J46</f>
      </c>
    </row>
    <row r="47" spans="1:15" x14ac:dyDescent="0.25">
      <c r="A47" s="2" t="s">
        <v>345</v>
      </c>
      <c r="B47" s="4">
        <v>50</v>
      </c>
      <c r="C47" s="4" t="s">
        <v>27</v>
      </c>
      <c r="D47" s="4"/>
      <c r="E47" s="4"/>
      <c r="F47" s="4">
        <v>29.7</v>
      </c>
      <c r="G47" s="4" t="s">
        <v>346</v>
      </c>
      <c r="H47" s="4"/>
      <c r="I47" s="4"/>
      <c r="J47" s="4">
        <v>6.08</v>
      </c>
      <c r="K47" s="4"/>
      <c r="L47" s="4"/>
      <c r="M47" s="4" t="s">
        <v>18</v>
      </c>
      <c r="N47" s="4">
        <v>21</v>
      </c>
      <c r="O47" s="3">
        <f>=B47*(N47*F47/10000)*J47</f>
      </c>
    </row>
    <row r="48" spans="1:15" x14ac:dyDescent="0.25">
      <c r="A48" s="2" t="s">
        <v>347</v>
      </c>
      <c r="B48" s="4">
        <v>34</v>
      </c>
      <c r="C48" s="4" t="s">
        <v>27</v>
      </c>
      <c r="D48" s="4"/>
      <c r="E48" s="4"/>
      <c r="F48" s="4">
        <v>21</v>
      </c>
      <c r="G48" s="4" t="s">
        <v>348</v>
      </c>
      <c r="H48" s="4"/>
      <c r="I48" s="4"/>
      <c r="J48" s="4">
        <v>6.08</v>
      </c>
      <c r="K48" s="4"/>
      <c r="L48" s="4"/>
      <c r="M48" s="4" t="s">
        <v>18</v>
      </c>
      <c r="N48" s="4">
        <v>14.8</v>
      </c>
      <c r="O48" s="3">
        <f>=B48*(N48*F48/10000)*J48</f>
      </c>
    </row>
    <row r="49" spans="1:15" x14ac:dyDescent="0.25">
      <c r="A49" s="2" t="s">
        <v>349</v>
      </c>
      <c r="B49" s="4">
        <v>27</v>
      </c>
      <c r="C49" s="4" t="s">
        <v>27</v>
      </c>
      <c r="D49" s="4"/>
      <c r="E49" s="4"/>
      <c r="F49" s="4">
        <v>14.8</v>
      </c>
      <c r="G49" s="4" t="s">
        <v>350</v>
      </c>
      <c r="H49" s="4"/>
      <c r="I49" s="4"/>
      <c r="J49" s="4">
        <v>6.08</v>
      </c>
      <c r="K49" s="4"/>
      <c r="L49" s="4"/>
      <c r="M49" s="4" t="s">
        <v>18</v>
      </c>
      <c r="N49" s="4">
        <v>10.5</v>
      </c>
      <c r="O49" s="3">
        <f>=B49*(N49*F49/10000)*J49</f>
      </c>
    </row>
    <row r="50" spans="1:15" x14ac:dyDescent="0.25">
      <c r="A50" s="2" t="s">
        <v>351</v>
      </c>
      <c r="B50" s="4">
        <v>1</v>
      </c>
      <c r="C50" s="4" t="s">
        <v>27</v>
      </c>
      <c r="D50" s="4"/>
      <c r="E50" s="4"/>
      <c r="F50" s="4">
        <v>32</v>
      </c>
      <c r="G50" s="4" t="s">
        <v>352</v>
      </c>
      <c r="H50" s="4"/>
      <c r="I50" s="4"/>
      <c r="J50" s="4">
        <v>6.08</v>
      </c>
      <c r="K50" s="4"/>
      <c r="L50" s="4"/>
      <c r="M50" s="4" t="s">
        <v>18</v>
      </c>
      <c r="N50" s="4">
        <v>47</v>
      </c>
      <c r="O50" s="3">
        <f>=B50*(N50*F50/10000)*J50</f>
      </c>
    </row>
    <row r="51" spans="1:15" x14ac:dyDescent="0.25">
      <c r="A51" s="2" t="s">
        <v>353</v>
      </c>
      <c r="B51" s="4">
        <v>1</v>
      </c>
      <c r="C51" s="4" t="s">
        <v>27</v>
      </c>
      <c r="D51" s="4"/>
      <c r="E51" s="4"/>
      <c r="F51" s="4">
        <v>15</v>
      </c>
      <c r="G51" s="4" t="s">
        <v>354</v>
      </c>
      <c r="H51" s="4"/>
      <c r="I51" s="4"/>
      <c r="J51" s="4">
        <v>6.08</v>
      </c>
      <c r="K51" s="4"/>
      <c r="L51" s="4"/>
      <c r="M51" s="4" t="s">
        <v>18</v>
      </c>
      <c r="N51" s="4">
        <v>67.5</v>
      </c>
      <c r="O51" s="3">
        <f>=B51*(N51*F51/10000)*J51</f>
      </c>
    </row>
    <row r="52" spans="1:15" x14ac:dyDescent="0.25">
      <c r="A52" s="2" t="s">
        <v>355</v>
      </c>
      <c r="B52" s="4">
        <v>1</v>
      </c>
      <c r="C52" s="4" t="s">
        <v>27</v>
      </c>
      <c r="D52" s="4"/>
      <c r="E52" s="4"/>
      <c r="F52" s="4">
        <v>24</v>
      </c>
      <c r="G52" s="4" t="s">
        <v>356</v>
      </c>
      <c r="H52" s="4"/>
      <c r="I52" s="4"/>
      <c r="J52" s="4">
        <v>6.08</v>
      </c>
      <c r="K52" s="4"/>
      <c r="L52" s="4"/>
      <c r="M52" s="4" t="s">
        <v>18</v>
      </c>
      <c r="N52" s="4">
        <v>99</v>
      </c>
      <c r="O52" s="3">
        <f>=B52*(N52*F52/10000)*J52</f>
      </c>
    </row>
    <row r="53" spans="1:15" x14ac:dyDescent="0.25">
      <c r="A53" s="2" t="s">
        <v>357</v>
      </c>
      <c r="B53" s="4">
        <v>2</v>
      </c>
      <c r="C53" s="4" t="s">
        <v>27</v>
      </c>
      <c r="D53" s="4"/>
      <c r="E53" s="4"/>
      <c r="F53" s="4">
        <v>38</v>
      </c>
      <c r="G53" s="4" t="s">
        <v>358</v>
      </c>
      <c r="H53" s="4"/>
      <c r="I53" s="4"/>
      <c r="J53" s="4">
        <v>6.08</v>
      </c>
      <c r="K53" s="4"/>
      <c r="L53" s="4"/>
      <c r="M53" s="4" t="s">
        <v>18</v>
      </c>
      <c r="N53" s="4">
        <v>80</v>
      </c>
      <c r="O53" s="3">
        <f>=B53*(N53*F53/10000)*J53</f>
      </c>
    </row>
    <row r="54" spans="1:15" x14ac:dyDescent="0.25">
      <c r="A54" s="2" t="s">
        <v>359</v>
      </c>
      <c r="B54" s="4">
        <v>1</v>
      </c>
      <c r="C54" s="4" t="s">
        <v>27</v>
      </c>
      <c r="D54" s="4"/>
      <c r="E54" s="4"/>
      <c r="F54" s="4">
        <v>72.5</v>
      </c>
      <c r="G54" s="4" t="s">
        <v>360</v>
      </c>
      <c r="H54" s="4"/>
      <c r="I54" s="4"/>
      <c r="J54" s="4">
        <v>6.08</v>
      </c>
      <c r="K54" s="4"/>
      <c r="L54" s="4"/>
      <c r="M54" s="4" t="s">
        <v>18</v>
      </c>
      <c r="N54" s="4">
        <v>120</v>
      </c>
      <c r="O54" s="3">
        <f>=B54*(N54*F54/10000)*J54</f>
      </c>
    </row>
    <row r="55" spans="1:15" x14ac:dyDescent="0.25">
      <c r="A55" s="2" t="s">
        <v>361</v>
      </c>
      <c r="B55" s="4">
        <v>1</v>
      </c>
      <c r="C55" s="4" t="s">
        <v>27</v>
      </c>
      <c r="D55" s="4"/>
      <c r="E55" s="4"/>
      <c r="F55" s="4">
        <v>17.5</v>
      </c>
      <c r="G55" s="4" t="s">
        <v>362</v>
      </c>
      <c r="H55" s="4"/>
      <c r="I55" s="4"/>
      <c r="J55" s="4">
        <v>6.08</v>
      </c>
      <c r="K55" s="4"/>
      <c r="L55" s="4"/>
      <c r="M55" s="4" t="s">
        <v>18</v>
      </c>
      <c r="N55" s="4">
        <v>120</v>
      </c>
      <c r="O55" s="3">
        <f>=B55*(N55*F55/10000)*J55</f>
      </c>
    </row>
    <row r="56" spans="1:15" x14ac:dyDescent="0.25">
      <c r="A56" s="2" t="s">
        <v>363</v>
      </c>
      <c r="B56" s="4">
        <v>1</v>
      </c>
      <c r="C56" s="4" t="s">
        <v>27</v>
      </c>
      <c r="D56" s="4"/>
      <c r="E56" s="4"/>
      <c r="F56" s="4">
        <v>12</v>
      </c>
      <c r="G56" s="4" t="s">
        <v>364</v>
      </c>
      <c r="H56" s="4"/>
      <c r="I56" s="4"/>
      <c r="J56" s="4">
        <v>6.08</v>
      </c>
      <c r="K56" s="4">
        <v>3</v>
      </c>
      <c r="L56" s="4"/>
      <c r="M56" s="4" t="s">
        <v>18</v>
      </c>
      <c r="N56" s="4">
        <v>100</v>
      </c>
      <c r="O56" s="3">
        <f>=B56*(N56*F56/10000)*J56</f>
      </c>
    </row>
    <row r="57" spans="1:15" x14ac:dyDescent="0.25">
      <c r="A57" s="2" t="s">
        <v>365</v>
      </c>
      <c r="B57" s="4">
        <v>1</v>
      </c>
      <c r="C57" s="4" t="s">
        <v>27</v>
      </c>
      <c r="D57" s="4"/>
      <c r="E57" s="4"/>
      <c r="F57" s="4">
        <v>31</v>
      </c>
      <c r="G57" s="4" t="s">
        <v>366</v>
      </c>
      <c r="H57" s="4"/>
      <c r="I57" s="4"/>
      <c r="J57" s="4">
        <v>6.08</v>
      </c>
      <c r="K57" s="4"/>
      <c r="L57" s="4"/>
      <c r="M57" s="4" t="s">
        <v>18</v>
      </c>
      <c r="N57" s="4">
        <v>77</v>
      </c>
      <c r="O57" s="3">
        <f>=B57*(N57*F57/10000)*J57</f>
      </c>
    </row>
    <row r="58" spans="1:15" x14ac:dyDescent="0.25">
      <c r="A58" s="2" t="s">
        <v>367</v>
      </c>
      <c r="B58" s="4">
        <v>1</v>
      </c>
      <c r="C58" s="4" t="s">
        <v>27</v>
      </c>
      <c r="D58" s="4"/>
      <c r="E58" s="4"/>
      <c r="F58" s="4">
        <v>25.5</v>
      </c>
      <c r="G58" s="4" t="s">
        <v>368</v>
      </c>
      <c r="H58" s="4"/>
      <c r="I58" s="4"/>
      <c r="J58" s="4">
        <v>6.08</v>
      </c>
      <c r="K58" s="4">
        <v>3</v>
      </c>
      <c r="L58" s="4"/>
      <c r="M58" s="4" t="s">
        <v>18</v>
      </c>
      <c r="N58" s="4">
        <v>240</v>
      </c>
      <c r="O58" s="3">
        <f>=B58*(N58*F58/10000)*J58</f>
      </c>
    </row>
    <row r="59" spans="1:15" x14ac:dyDescent="0.25">
      <c r="A59" s="2" t="s">
        <v>369</v>
      </c>
      <c r="B59" s="4">
        <v>0</v>
      </c>
      <c r="C59" s="4" t="s">
        <v>27</v>
      </c>
      <c r="D59" s="4"/>
      <c r="E59" s="4"/>
      <c r="F59" s="4">
        <v>55</v>
      </c>
      <c r="G59" s="4" t="s">
        <v>370</v>
      </c>
      <c r="H59" s="4"/>
      <c r="I59" s="4"/>
      <c r="J59" s="4">
        <v>6.08</v>
      </c>
      <c r="K59" s="4">
        <v>3</v>
      </c>
      <c r="L59" s="4"/>
      <c r="M59" s="4"/>
      <c r="N59" s="4">
        <v>135</v>
      </c>
      <c r="O59" s="3">
        <f>=B59*(N59*F59/10000)*J59</f>
      </c>
    </row>
    <row r="60" spans="1:15" x14ac:dyDescent="0.25">
      <c r="A60" s="2" t="s">
        <v>371</v>
      </c>
      <c r="B60" s="4">
        <v>0</v>
      </c>
      <c r="C60" s="4" t="s">
        <v>27</v>
      </c>
      <c r="D60" s="4"/>
      <c r="E60" s="4"/>
      <c r="F60" s="4">
        <v>25</v>
      </c>
      <c r="G60" s="4" t="s">
        <v>372</v>
      </c>
      <c r="H60" s="4"/>
      <c r="I60" s="4"/>
      <c r="J60" s="4">
        <v>6.08</v>
      </c>
      <c r="K60" s="4">
        <v>3</v>
      </c>
      <c r="L60" s="4"/>
      <c r="M60" s="4" t="s">
        <v>102</v>
      </c>
      <c r="N60" s="4">
        <v>145</v>
      </c>
      <c r="O60" s="3">
        <f>=B60*(N60*F60/10000)*J60</f>
      </c>
    </row>
    <row r="61" spans="1:15" x14ac:dyDescent="0.25">
      <c r="A61" s="2" t="s">
        <v>373</v>
      </c>
      <c r="B61" s="4">
        <v>2</v>
      </c>
      <c r="C61" s="4" t="s">
        <v>27</v>
      </c>
      <c r="D61" s="4"/>
      <c r="E61" s="4"/>
      <c r="F61" s="4">
        <v>30</v>
      </c>
      <c r="G61" s="4" t="s">
        <v>374</v>
      </c>
      <c r="H61" s="4"/>
      <c r="I61" s="4"/>
      <c r="J61" s="4">
        <v>6.08</v>
      </c>
      <c r="K61" s="4"/>
      <c r="L61" s="4"/>
      <c r="M61" s="4" t="s">
        <v>18</v>
      </c>
      <c r="N61" s="4">
        <v>40</v>
      </c>
      <c r="O61" s="3">
        <f>=B61*(N61*F61/10000)*J61</f>
      </c>
    </row>
    <row r="62" spans="1:15" x14ac:dyDescent="0.25">
      <c r="A62" s="2" t="s">
        <v>375</v>
      </c>
      <c r="B62" s="4">
        <v>1</v>
      </c>
      <c r="C62" s="4" t="s">
        <v>27</v>
      </c>
      <c r="D62" s="4"/>
      <c r="E62" s="4"/>
      <c r="F62" s="4">
        <v>32</v>
      </c>
      <c r="G62" s="4" t="s">
        <v>376</v>
      </c>
      <c r="H62" s="4"/>
      <c r="I62" s="4"/>
      <c r="J62" s="4">
        <v>6.08</v>
      </c>
      <c r="K62" s="4"/>
      <c r="L62" s="4"/>
      <c r="M62" s="4" t="s">
        <v>18</v>
      </c>
      <c r="N62" s="4">
        <v>40</v>
      </c>
      <c r="O62" s="3">
        <f>=B62*(N62*F62/10000)*J62</f>
      </c>
    </row>
    <row r="63" spans="1:15" x14ac:dyDescent="0.25">
      <c r="A63" s="2" t="s">
        <v>377</v>
      </c>
      <c r="B63" s="4">
        <v>1</v>
      </c>
      <c r="C63" s="4" t="s">
        <v>27</v>
      </c>
      <c r="D63" s="4"/>
      <c r="E63" s="4"/>
      <c r="F63" s="4">
        <v>34</v>
      </c>
      <c r="G63" s="4" t="s">
        <v>378</v>
      </c>
      <c r="H63" s="4"/>
      <c r="I63" s="4"/>
      <c r="J63" s="4">
        <v>6.08</v>
      </c>
      <c r="K63" s="4"/>
      <c r="L63" s="4"/>
      <c r="M63" s="4" t="s">
        <v>18</v>
      </c>
      <c r="N63" s="4">
        <v>40</v>
      </c>
      <c r="O63" s="3">
        <f>=B63*(N63*F63/10000)*J63</f>
      </c>
    </row>
    <row r="64" spans="1:15" x14ac:dyDescent="0.25">
      <c r="A64" s="2" t="s">
        <v>379</v>
      </c>
      <c r="B64" s="4">
        <v>1</v>
      </c>
      <c r="C64" s="4"/>
      <c r="D64" s="4">
        <v>0</v>
      </c>
      <c r="E64" s="4" t="s">
        <v>102</v>
      </c>
      <c r="F64" s="4">
        <v>0</v>
      </c>
      <c r="G64" s="4" t="s">
        <v>380</v>
      </c>
      <c r="H64" s="4">
        <v>0</v>
      </c>
      <c r="I64" s="4">
        <v>0</v>
      </c>
      <c r="J64" s="4">
        <v>0</v>
      </c>
      <c r="K64" s="4">
        <v>3</v>
      </c>
      <c r="L64" s="4">
        <v>0</v>
      </c>
      <c r="M64" s="4" t="s">
        <v>18</v>
      </c>
      <c r="N64" s="4">
        <v>0</v>
      </c>
      <c r="O64" s="3">
        <f>=0</f>
      </c>
    </row>
    <row r="65" spans="1:15" x14ac:dyDescent="0.25">
      <c r="A65" s="2" t="s">
        <v>381</v>
      </c>
      <c r="B65" s="4">
        <v>1</v>
      </c>
      <c r="C65" s="4"/>
      <c r="D65" s="4">
        <v>0</v>
      </c>
      <c r="E65" s="4" t="s">
        <v>102</v>
      </c>
      <c r="F65" s="4">
        <v>0</v>
      </c>
      <c r="G65" s="4" t="s">
        <v>382</v>
      </c>
      <c r="H65" s="4">
        <v>0</v>
      </c>
      <c r="I65" s="4">
        <v>0</v>
      </c>
      <c r="J65" s="4">
        <v>0</v>
      </c>
      <c r="K65" s="4">
        <v>3</v>
      </c>
      <c r="L65" s="4">
        <v>0</v>
      </c>
      <c r="M65" s="4" t="s">
        <v>102</v>
      </c>
      <c r="N65" s="4">
        <v>0</v>
      </c>
      <c r="O65" s="3">
        <f>=0</f>
      </c>
    </row>
    <row r="66" spans="1:15" x14ac:dyDescent="0.25">
      <c r="A66" s="2" t="s">
        <v>383</v>
      </c>
      <c r="B66" s="4">
        <v>5</v>
      </c>
      <c r="C66" s="4"/>
      <c r="D66" s="4">
        <v>0</v>
      </c>
      <c r="E66" s="4" t="s">
        <v>102</v>
      </c>
      <c r="F66" s="4">
        <v>0</v>
      </c>
      <c r="G66" s="4" t="s">
        <v>384</v>
      </c>
      <c r="H66" s="4">
        <v>0</v>
      </c>
      <c r="I66" s="4">
        <v>0</v>
      </c>
      <c r="J66" s="4">
        <v>0</v>
      </c>
      <c r="K66" s="4">
        <v>3</v>
      </c>
      <c r="L66" s="4">
        <v>0</v>
      </c>
      <c r="M66" s="4" t="s">
        <v>18</v>
      </c>
      <c r="N66" s="4">
        <v>0</v>
      </c>
      <c r="O66" s="3">
        <f>=0</f>
      </c>
    </row>
    <row r="67" spans="1:15" x14ac:dyDescent="0.25">
      <c r="A67" s="2" t="s">
        <v>385</v>
      </c>
      <c r="B67" s="4">
        <v>1</v>
      </c>
      <c r="C67" s="4"/>
      <c r="D67" s="4">
        <v>0</v>
      </c>
      <c r="E67" s="4" t="s">
        <v>102</v>
      </c>
      <c r="F67" s="4">
        <v>0</v>
      </c>
      <c r="G67" s="4" t="s">
        <v>386</v>
      </c>
      <c r="H67" s="4">
        <v>0</v>
      </c>
      <c r="I67" s="4">
        <v>0</v>
      </c>
      <c r="J67" s="4">
        <v>0</v>
      </c>
      <c r="K67" s="4">
        <v>3</v>
      </c>
      <c r="L67" s="4">
        <v>0</v>
      </c>
      <c r="M67" s="4" t="s">
        <v>18</v>
      </c>
      <c r="N67" s="4">
        <v>0</v>
      </c>
      <c r="O67" s="3">
        <f>=0</f>
      </c>
    </row>
    <row r="68" spans="1:15" x14ac:dyDescent="0.25">
      <c r="A68" s="2" t="s">
        <v>387</v>
      </c>
      <c r="B68" s="4">
        <v>1</v>
      </c>
      <c r="C68" s="4"/>
      <c r="D68" s="4">
        <v>0</v>
      </c>
      <c r="E68" s="4" t="s">
        <v>102</v>
      </c>
      <c r="F68" s="4">
        <v>0</v>
      </c>
      <c r="G68" s="4" t="s">
        <v>388</v>
      </c>
      <c r="H68" s="4">
        <v>0</v>
      </c>
      <c r="I68" s="4">
        <v>0</v>
      </c>
      <c r="J68" s="4">
        <v>0</v>
      </c>
      <c r="K68" s="4">
        <v>3</v>
      </c>
      <c r="L68" s="4">
        <v>0</v>
      </c>
      <c r="M68" s="4" t="s">
        <v>18</v>
      </c>
      <c r="N68" s="4">
        <v>0</v>
      </c>
      <c r="O68" s="3">
        <f>=0</f>
      </c>
    </row>
    <row r="69" spans="1:15" x14ac:dyDescent="0.25">
      <c r="A69" s="2" t="s">
        <v>389</v>
      </c>
      <c r="B69" s="4">
        <v>1</v>
      </c>
      <c r="C69" s="4"/>
      <c r="D69" s="4">
        <v>0</v>
      </c>
      <c r="E69" s="4" t="s">
        <v>102</v>
      </c>
      <c r="F69" s="4">
        <v>0</v>
      </c>
      <c r="G69" s="4" t="s">
        <v>390</v>
      </c>
      <c r="H69" s="4">
        <v>0</v>
      </c>
      <c r="I69" s="4">
        <v>0</v>
      </c>
      <c r="J69" s="4">
        <v>0</v>
      </c>
      <c r="K69" s="4">
        <v>3</v>
      </c>
      <c r="L69" s="4">
        <v>0</v>
      </c>
      <c r="M69" s="4" t="s">
        <v>18</v>
      </c>
      <c r="N69" s="4">
        <v>0</v>
      </c>
      <c r="O69" s="3">
        <f>=0</f>
      </c>
    </row>
    <row r="70" spans="1:15" x14ac:dyDescent="0.25">
      <c r="A70" s="2" t="s">
        <v>391</v>
      </c>
      <c r="B70" s="4">
        <v>1</v>
      </c>
      <c r="C70" s="4"/>
      <c r="D70" s="4">
        <v>0</v>
      </c>
      <c r="E70" s="4" t="s">
        <v>102</v>
      </c>
      <c r="F70" s="4">
        <v>0</v>
      </c>
      <c r="G70" s="4" t="s">
        <v>392</v>
      </c>
      <c r="H70" s="4">
        <v>0</v>
      </c>
      <c r="I70" s="4">
        <v>0</v>
      </c>
      <c r="J70" s="4">
        <v>0</v>
      </c>
      <c r="K70" s="4">
        <v>3</v>
      </c>
      <c r="L70" s="4">
        <v>0</v>
      </c>
      <c r="M70" s="4" t="s">
        <v>18</v>
      </c>
      <c r="N70" s="4">
        <v>0</v>
      </c>
      <c r="O70" s="3">
        <f>=0</f>
      </c>
    </row>
    <row r="71" spans="1:15" x14ac:dyDescent="0.25">
      <c r="A71" s="2" t="s">
        <v>393</v>
      </c>
      <c r="B71" s="4">
        <v>1</v>
      </c>
      <c r="C71" s="4"/>
      <c r="D71" s="4">
        <v>0</v>
      </c>
      <c r="E71" s="4" t="s">
        <v>102</v>
      </c>
      <c r="F71" s="4">
        <v>0</v>
      </c>
      <c r="G71" s="4" t="s">
        <v>394</v>
      </c>
      <c r="H71" s="4">
        <v>0</v>
      </c>
      <c r="I71" s="4">
        <v>0</v>
      </c>
      <c r="J71" s="4">
        <v>0</v>
      </c>
      <c r="K71" s="4">
        <v>3</v>
      </c>
      <c r="L71" s="4">
        <v>0</v>
      </c>
      <c r="M71" s="4" t="s">
        <v>18</v>
      </c>
      <c r="N71" s="4">
        <v>0</v>
      </c>
      <c r="O71" s="3">
        <f>=0</f>
      </c>
    </row>
    <row r="72" spans="1:15" x14ac:dyDescent="0.25">
      <c r="A72" s="2" t="s">
        <v>395</v>
      </c>
      <c r="B72" s="4">
        <v>1</v>
      </c>
      <c r="C72" s="4"/>
      <c r="D72" s="4">
        <v>0</v>
      </c>
      <c r="E72" s="4" t="s">
        <v>102</v>
      </c>
      <c r="F72" s="4">
        <v>0</v>
      </c>
      <c r="G72" s="4" t="s">
        <v>396</v>
      </c>
      <c r="H72" s="4">
        <v>0</v>
      </c>
      <c r="I72" s="4">
        <v>0</v>
      </c>
      <c r="J72" s="4">
        <v>0</v>
      </c>
      <c r="K72" s="4">
        <v>3</v>
      </c>
      <c r="L72" s="4">
        <v>0</v>
      </c>
      <c r="M72" s="4" t="s">
        <v>18</v>
      </c>
      <c r="N72" s="4">
        <v>0</v>
      </c>
      <c r="O72" s="3">
        <f>=0</f>
      </c>
    </row>
    <row r="73" spans="1:15" x14ac:dyDescent="0.25">
      <c r="A73" s="2" t="s">
        <v>397</v>
      </c>
      <c r="B73" s="4">
        <v>1</v>
      </c>
      <c r="C73" s="4"/>
      <c r="D73" s="4">
        <v>0</v>
      </c>
      <c r="E73" s="4" t="s">
        <v>102</v>
      </c>
      <c r="F73" s="4">
        <v>0</v>
      </c>
      <c r="G73" s="4" t="s">
        <v>398</v>
      </c>
      <c r="H73" s="4">
        <v>0</v>
      </c>
      <c r="I73" s="4">
        <v>0</v>
      </c>
      <c r="J73" s="4">
        <v>0</v>
      </c>
      <c r="K73" s="4">
        <v>3</v>
      </c>
      <c r="L73" s="4">
        <v>0</v>
      </c>
      <c r="M73" s="4" t="s">
        <v>18</v>
      </c>
      <c r="N73" s="4">
        <v>0</v>
      </c>
      <c r="O73" s="3">
        <f>=0</f>
      </c>
    </row>
    <row r="74" spans="1:15" x14ac:dyDescent="0.25">
      <c r="A74" s="2" t="s">
        <v>399</v>
      </c>
      <c r="B74" s="4">
        <v>1</v>
      </c>
      <c r="C74" s="4"/>
      <c r="D74" s="4">
        <v>0</v>
      </c>
      <c r="E74" s="4" t="s">
        <v>102</v>
      </c>
      <c r="F74" s="4">
        <v>0</v>
      </c>
      <c r="G74" s="4" t="s">
        <v>400</v>
      </c>
      <c r="H74" s="4">
        <v>0</v>
      </c>
      <c r="I74" s="4">
        <v>0</v>
      </c>
      <c r="J74" s="4">
        <v>0</v>
      </c>
      <c r="K74" s="4">
        <v>3</v>
      </c>
      <c r="L74" s="4">
        <v>0</v>
      </c>
      <c r="M74" s="4" t="s">
        <v>18</v>
      </c>
      <c r="N74" s="4">
        <v>0</v>
      </c>
      <c r="O74" s="3">
        <f>=0</f>
      </c>
    </row>
    <row r="75" spans="1:15" x14ac:dyDescent="0.25">
      <c r="A75" s="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5" t="s">
        <v>25</v>
      </c>
      <c r="O75" s="6">
        <f>=SUM(O2:O74)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401</v>
      </c>
      <c r="B2" s="4">
        <v>1</v>
      </c>
      <c r="C2" s="4" t="s">
        <v>27</v>
      </c>
      <c r="D2" s="4"/>
      <c r="E2" s="4"/>
      <c r="F2" s="4">
        <v>30</v>
      </c>
      <c r="G2" s="4" t="s">
        <v>402</v>
      </c>
      <c r="H2" s="4"/>
      <c r="I2" s="4"/>
      <c r="J2" s="4">
        <v>4.58</v>
      </c>
      <c r="K2" s="4">
        <v>3</v>
      </c>
      <c r="L2" s="4"/>
      <c r="M2" s="4" t="s">
        <v>18</v>
      </c>
      <c r="N2" s="4">
        <v>41</v>
      </c>
      <c r="O2" s="3">
        <f>=B2*(N2*F2/10000)*J2</f>
      </c>
    </row>
    <row r="3" spans="1:15" x14ac:dyDescent="0.25">
      <c r="A3" s="2" t="s">
        <v>403</v>
      </c>
      <c r="B3" s="4">
        <v>1</v>
      </c>
      <c r="C3" s="4" t="s">
        <v>27</v>
      </c>
      <c r="D3" s="4"/>
      <c r="E3" s="4"/>
      <c r="F3" s="4">
        <v>20</v>
      </c>
      <c r="G3" s="4" t="s">
        <v>404</v>
      </c>
      <c r="H3" s="4"/>
      <c r="I3" s="4"/>
      <c r="J3" s="4">
        <v>4.58</v>
      </c>
      <c r="K3" s="4">
        <v>3</v>
      </c>
      <c r="L3" s="4"/>
      <c r="M3" s="4" t="s">
        <v>18</v>
      </c>
      <c r="N3" s="4">
        <v>28</v>
      </c>
      <c r="O3" s="3">
        <f>=B3*(N3*F3/10000)*J3</f>
      </c>
    </row>
    <row r="4" spans="1:15" x14ac:dyDescent="0.25">
      <c r="A4" s="2" t="s">
        <v>405</v>
      </c>
      <c r="B4" s="4">
        <v>1</v>
      </c>
      <c r="C4" s="4" t="s">
        <v>27</v>
      </c>
      <c r="D4" s="4"/>
      <c r="E4" s="4"/>
      <c r="F4" s="4">
        <v>29</v>
      </c>
      <c r="G4" s="4" t="s">
        <v>406</v>
      </c>
      <c r="H4" s="4"/>
      <c r="I4" s="4"/>
      <c r="J4" s="4">
        <v>4.58</v>
      </c>
      <c r="K4" s="4">
        <v>3</v>
      </c>
      <c r="L4" s="4"/>
      <c r="M4" s="4" t="s">
        <v>18</v>
      </c>
      <c r="N4" s="4">
        <v>20</v>
      </c>
      <c r="O4" s="3">
        <f>=B4*(N4*F4/10000)*J4</f>
      </c>
    </row>
    <row r="5" spans="1:15" x14ac:dyDescent="0.25">
      <c r="A5" s="2" t="s">
        <v>407</v>
      </c>
      <c r="B5" s="4">
        <v>1</v>
      </c>
      <c r="C5" s="4" t="s">
        <v>27</v>
      </c>
      <c r="D5" s="4"/>
      <c r="E5" s="4"/>
      <c r="F5" s="4">
        <v>28</v>
      </c>
      <c r="G5" s="4" t="s">
        <v>408</v>
      </c>
      <c r="H5" s="4"/>
      <c r="I5" s="4"/>
      <c r="J5" s="4">
        <v>4.58</v>
      </c>
      <c r="K5" s="4">
        <v>3</v>
      </c>
      <c r="L5" s="4"/>
      <c r="M5" s="4" t="s">
        <v>18</v>
      </c>
      <c r="N5" s="4">
        <v>24.5</v>
      </c>
      <c r="O5" s="3">
        <f>=B5*(N5*F5/10000)*J5</f>
      </c>
    </row>
    <row r="6" spans="1:15" x14ac:dyDescent="0.25">
      <c r="A6" s="2" t="s">
        <v>409</v>
      </c>
      <c r="B6" s="4">
        <v>2</v>
      </c>
      <c r="C6" s="4" t="s">
        <v>27</v>
      </c>
      <c r="D6" s="4"/>
      <c r="E6" s="4"/>
      <c r="F6" s="4">
        <v>28.5</v>
      </c>
      <c r="G6" s="4" t="s">
        <v>410</v>
      </c>
      <c r="H6" s="4"/>
      <c r="I6" s="4"/>
      <c r="J6" s="4">
        <v>4.58</v>
      </c>
      <c r="K6" s="4">
        <v>3</v>
      </c>
      <c r="L6" s="4"/>
      <c r="M6" s="4" t="s">
        <v>18</v>
      </c>
      <c r="N6" s="4">
        <v>25.5</v>
      </c>
      <c r="O6" s="3">
        <f>=B6*(N6*F6/10000)*J6</f>
      </c>
    </row>
    <row r="7" spans="1:15" x14ac:dyDescent="0.25">
      <c r="A7" s="2" t="s">
        <v>411</v>
      </c>
      <c r="B7" s="4">
        <v>1</v>
      </c>
      <c r="C7" s="4" t="s">
        <v>27</v>
      </c>
      <c r="D7" s="4"/>
      <c r="E7" s="4"/>
      <c r="F7" s="4">
        <v>24</v>
      </c>
      <c r="G7" s="4" t="s">
        <v>412</v>
      </c>
      <c r="H7" s="4"/>
      <c r="I7" s="4"/>
      <c r="J7" s="4">
        <v>4.58</v>
      </c>
      <c r="K7" s="4">
        <v>3</v>
      </c>
      <c r="L7" s="4"/>
      <c r="M7" s="4" t="s">
        <v>18</v>
      </c>
      <c r="N7" s="4">
        <v>60</v>
      </c>
      <c r="O7" s="3">
        <f>=B7*(N7*F7/10000)*J7</f>
      </c>
    </row>
    <row r="8" spans="1:15" x14ac:dyDescent="0.25">
      <c r="A8" s="2" t="s">
        <v>413</v>
      </c>
      <c r="B8" s="4">
        <v>1</v>
      </c>
      <c r="C8" s="4" t="s">
        <v>27</v>
      </c>
      <c r="D8" s="4"/>
      <c r="E8" s="4"/>
      <c r="F8" s="4">
        <v>52</v>
      </c>
      <c r="G8" s="4" t="s">
        <v>414</v>
      </c>
      <c r="H8" s="4"/>
      <c r="I8" s="4"/>
      <c r="J8" s="4">
        <v>4.58</v>
      </c>
      <c r="K8" s="4">
        <v>3</v>
      </c>
      <c r="L8" s="4"/>
      <c r="M8" s="4" t="s">
        <v>18</v>
      </c>
      <c r="N8" s="4">
        <v>20</v>
      </c>
      <c r="O8" s="3">
        <f>=B8*(N8*F8/10000)*J8</f>
      </c>
    </row>
    <row r="9" spans="1:15" x14ac:dyDescent="0.25">
      <c r="A9" s="2" t="s">
        <v>415</v>
      </c>
      <c r="B9" s="4">
        <v>1</v>
      </c>
      <c r="C9" s="4" t="s">
        <v>27</v>
      </c>
      <c r="D9" s="4"/>
      <c r="E9" s="4"/>
      <c r="F9" s="4">
        <v>30</v>
      </c>
      <c r="G9" s="4" t="s">
        <v>416</v>
      </c>
      <c r="H9" s="4"/>
      <c r="I9" s="4"/>
      <c r="J9" s="4">
        <v>4.58</v>
      </c>
      <c r="K9" s="4">
        <v>3</v>
      </c>
      <c r="L9" s="4"/>
      <c r="M9" s="4" t="s">
        <v>18</v>
      </c>
      <c r="N9" s="4">
        <v>40</v>
      </c>
      <c r="O9" s="3">
        <f>=B9*(N9*F9/10000)*J9</f>
      </c>
    </row>
    <row r="10" spans="1:15" x14ac:dyDescent="0.25">
      <c r="A10" s="2" t="s">
        <v>417</v>
      </c>
      <c r="B10" s="4">
        <v>1</v>
      </c>
      <c r="C10" s="4" t="s">
        <v>27</v>
      </c>
      <c r="D10" s="4"/>
      <c r="E10" s="4"/>
      <c r="F10" s="4">
        <v>25</v>
      </c>
      <c r="G10" s="4" t="s">
        <v>418</v>
      </c>
      <c r="H10" s="4"/>
      <c r="I10" s="4"/>
      <c r="J10" s="4">
        <v>4.58</v>
      </c>
      <c r="K10" s="4">
        <v>3</v>
      </c>
      <c r="L10" s="4"/>
      <c r="M10" s="4" t="s">
        <v>18</v>
      </c>
      <c r="N10" s="4">
        <v>28</v>
      </c>
      <c r="O10" s="3">
        <f>=B10*(N10*F10/10000)*J10</f>
      </c>
    </row>
    <row r="11" spans="1:15" x14ac:dyDescent="0.25">
      <c r="A11" s="2" t="s">
        <v>419</v>
      </c>
      <c r="B11" s="4">
        <v>2</v>
      </c>
      <c r="C11" s="4" t="s">
        <v>27</v>
      </c>
      <c r="D11" s="4"/>
      <c r="E11" s="4"/>
      <c r="F11" s="4">
        <v>15</v>
      </c>
      <c r="G11" s="4" t="s">
        <v>420</v>
      </c>
      <c r="H11" s="4"/>
      <c r="I11" s="4"/>
      <c r="J11" s="4">
        <v>4.58</v>
      </c>
      <c r="K11" s="4">
        <v>3</v>
      </c>
      <c r="L11" s="4"/>
      <c r="M11" s="4" t="s">
        <v>18</v>
      </c>
      <c r="N11" s="4">
        <v>22</v>
      </c>
      <c r="O11" s="3">
        <f>=B11*(N11*F11/10000)*J11</f>
      </c>
    </row>
    <row r="12" spans="1:15" x14ac:dyDescent="0.25">
      <c r="A12" s="2" t="s">
        <v>421</v>
      </c>
      <c r="B12" s="4">
        <v>1</v>
      </c>
      <c r="C12" s="4" t="s">
        <v>27</v>
      </c>
      <c r="D12" s="4"/>
      <c r="E12" s="4"/>
      <c r="F12" s="4">
        <v>19</v>
      </c>
      <c r="G12" s="4" t="s">
        <v>422</v>
      </c>
      <c r="H12" s="4"/>
      <c r="I12" s="4"/>
      <c r="J12" s="4">
        <v>4.58</v>
      </c>
      <c r="K12" s="4">
        <v>3</v>
      </c>
      <c r="L12" s="4"/>
      <c r="M12" s="4" t="s">
        <v>18</v>
      </c>
      <c r="N12" s="4">
        <v>20</v>
      </c>
      <c r="O12" s="3">
        <f>=B12*(N12*F12/10000)*J12</f>
      </c>
    </row>
    <row r="13" spans="1:15" x14ac:dyDescent="0.25">
      <c r="A13" s="2" t="s">
        <v>423</v>
      </c>
      <c r="B13" s="4">
        <v>1</v>
      </c>
      <c r="C13" s="4" t="s">
        <v>27</v>
      </c>
      <c r="D13" s="4"/>
      <c r="E13" s="4"/>
      <c r="F13" s="4">
        <v>20</v>
      </c>
      <c r="G13" s="4" t="s">
        <v>424</v>
      </c>
      <c r="H13" s="4"/>
      <c r="I13" s="4"/>
      <c r="J13" s="4">
        <v>4.58</v>
      </c>
      <c r="K13" s="4">
        <v>3</v>
      </c>
      <c r="L13" s="4"/>
      <c r="M13" s="4" t="s">
        <v>18</v>
      </c>
      <c r="N13" s="4">
        <v>23</v>
      </c>
      <c r="O13" s="3">
        <f>=B13*(N13*F13/10000)*J13</f>
      </c>
    </row>
    <row r="14" spans="1:15" x14ac:dyDescent="0.25">
      <c r="A14" s="2" t="s">
        <v>425</v>
      </c>
      <c r="B14" s="4">
        <v>3</v>
      </c>
      <c r="C14" s="4" t="s">
        <v>27</v>
      </c>
      <c r="D14" s="4"/>
      <c r="E14" s="4"/>
      <c r="F14" s="4">
        <v>24</v>
      </c>
      <c r="G14" s="4" t="s">
        <v>426</v>
      </c>
      <c r="H14" s="4"/>
      <c r="I14" s="4"/>
      <c r="J14" s="4">
        <v>4.58</v>
      </c>
      <c r="K14" s="4">
        <v>3</v>
      </c>
      <c r="L14" s="4"/>
      <c r="M14" s="4" t="s">
        <v>18</v>
      </c>
      <c r="N14" s="4">
        <v>21</v>
      </c>
      <c r="O14" s="3">
        <f>=B14*(N14*F14/10000)*J14</f>
      </c>
    </row>
    <row r="15" spans="1:15" x14ac:dyDescent="0.25">
      <c r="A15" s="2" t="s">
        <v>427</v>
      </c>
      <c r="B15" s="4">
        <v>1</v>
      </c>
      <c r="C15" s="4" t="s">
        <v>27</v>
      </c>
      <c r="D15" s="4"/>
      <c r="E15" s="4"/>
      <c r="F15" s="4">
        <v>25</v>
      </c>
      <c r="G15" s="4" t="s">
        <v>428</v>
      </c>
      <c r="H15" s="4"/>
      <c r="I15" s="4"/>
      <c r="J15" s="4">
        <v>4.58</v>
      </c>
      <c r="K15" s="4">
        <v>3</v>
      </c>
      <c r="L15" s="4"/>
      <c r="M15" s="4" t="s">
        <v>18</v>
      </c>
      <c r="N15" s="4">
        <v>19</v>
      </c>
      <c r="O15" s="3">
        <f>=B15*(N15*F15/10000)*J15</f>
      </c>
    </row>
    <row r="16" spans="1:15" x14ac:dyDescent="0.25">
      <c r="A16" s="2" t="s">
        <v>429</v>
      </c>
      <c r="B16" s="4">
        <v>1</v>
      </c>
      <c r="C16" s="4" t="s">
        <v>27</v>
      </c>
      <c r="D16" s="4"/>
      <c r="E16" s="4"/>
      <c r="F16" s="4">
        <v>25</v>
      </c>
      <c r="G16" s="4" t="s">
        <v>430</v>
      </c>
      <c r="H16" s="4"/>
      <c r="I16" s="4"/>
      <c r="J16" s="4">
        <v>4.58</v>
      </c>
      <c r="K16" s="4">
        <v>3</v>
      </c>
      <c r="L16" s="4"/>
      <c r="M16" s="4" t="s">
        <v>18</v>
      </c>
      <c r="N16" s="4">
        <v>21</v>
      </c>
      <c r="O16" s="3">
        <f>=B16*(N16*F16/10000)*J16</f>
      </c>
    </row>
    <row r="17" spans="1:15" x14ac:dyDescent="0.25">
      <c r="A17" s="2" t="s">
        <v>431</v>
      </c>
      <c r="B17" s="4">
        <v>3</v>
      </c>
      <c r="C17" s="4" t="s">
        <v>27</v>
      </c>
      <c r="D17" s="4"/>
      <c r="E17" s="4"/>
      <c r="F17" s="4">
        <v>22</v>
      </c>
      <c r="G17" s="4" t="s">
        <v>432</v>
      </c>
      <c r="H17" s="4"/>
      <c r="I17" s="4"/>
      <c r="J17" s="4">
        <v>4.58</v>
      </c>
      <c r="K17" s="4">
        <v>3</v>
      </c>
      <c r="L17" s="4"/>
      <c r="M17" s="4" t="s">
        <v>18</v>
      </c>
      <c r="N17" s="4">
        <v>22</v>
      </c>
      <c r="O17" s="3">
        <f>=B17*(N17*F17/10000)*J17</f>
      </c>
    </row>
    <row r="18" spans="1:15" x14ac:dyDescent="0.25">
      <c r="A18" s="2" t="s">
        <v>433</v>
      </c>
      <c r="B18" s="4">
        <v>1</v>
      </c>
      <c r="C18" s="4" t="s">
        <v>27</v>
      </c>
      <c r="D18" s="4"/>
      <c r="E18" s="4"/>
      <c r="F18" s="4">
        <v>49.5</v>
      </c>
      <c r="G18" s="4" t="s">
        <v>434</v>
      </c>
      <c r="H18" s="4"/>
      <c r="I18" s="4"/>
      <c r="J18" s="4">
        <v>4.58</v>
      </c>
      <c r="K18" s="4">
        <v>3</v>
      </c>
      <c r="L18" s="4"/>
      <c r="M18" s="4" t="s">
        <v>18</v>
      </c>
      <c r="N18" s="4">
        <v>14.5</v>
      </c>
      <c r="O18" s="3">
        <f>=B18*(N18*F18/10000)*J18</f>
      </c>
    </row>
    <row r="19" spans="1:15" x14ac:dyDescent="0.25">
      <c r="A19" s="2" t="s">
        <v>435</v>
      </c>
      <c r="B19" s="4">
        <v>1</v>
      </c>
      <c r="C19" s="4" t="s">
        <v>27</v>
      </c>
      <c r="D19" s="4"/>
      <c r="E19" s="4"/>
      <c r="F19" s="4">
        <v>25</v>
      </c>
      <c r="G19" s="4" t="s">
        <v>436</v>
      </c>
      <c r="H19" s="4"/>
      <c r="I19" s="4"/>
      <c r="J19" s="4">
        <v>4.58</v>
      </c>
      <c r="K19" s="4">
        <v>3</v>
      </c>
      <c r="L19" s="4"/>
      <c r="M19" s="4" t="s">
        <v>18</v>
      </c>
      <c r="N19" s="4">
        <v>25</v>
      </c>
      <c r="O19" s="3">
        <f>=B19*(N19*F19/10000)*J19</f>
      </c>
    </row>
    <row r="20" spans="1:15" x14ac:dyDescent="0.25">
      <c r="A20" s="2" t="s">
        <v>437</v>
      </c>
      <c r="B20" s="4">
        <v>1</v>
      </c>
      <c r="C20" s="4" t="s">
        <v>27</v>
      </c>
      <c r="D20" s="4"/>
      <c r="E20" s="4"/>
      <c r="F20" s="4">
        <v>29</v>
      </c>
      <c r="G20" s="4" t="s">
        <v>438</v>
      </c>
      <c r="H20" s="4"/>
      <c r="I20" s="4"/>
      <c r="J20" s="4">
        <v>4.58</v>
      </c>
      <c r="K20" s="4">
        <v>3</v>
      </c>
      <c r="L20" s="4"/>
      <c r="M20" s="4" t="s">
        <v>18</v>
      </c>
      <c r="N20" s="4">
        <v>31</v>
      </c>
      <c r="O20" s="3">
        <f>=B20*(N20*F20/10000)*J20</f>
      </c>
    </row>
    <row r="21" spans="1:15" x14ac:dyDescent="0.25">
      <c r="A21" s="2" t="s">
        <v>439</v>
      </c>
      <c r="B21" s="4">
        <v>1</v>
      </c>
      <c r="C21" s="4" t="s">
        <v>27</v>
      </c>
      <c r="D21" s="4"/>
      <c r="E21" s="4"/>
      <c r="F21" s="4">
        <v>30</v>
      </c>
      <c r="G21" s="4" t="s">
        <v>440</v>
      </c>
      <c r="H21" s="4"/>
      <c r="I21" s="4"/>
      <c r="J21" s="4">
        <v>4.58</v>
      </c>
      <c r="K21" s="4">
        <v>3</v>
      </c>
      <c r="L21" s="4"/>
      <c r="M21" s="4" t="s">
        <v>18</v>
      </c>
      <c r="N21" s="4">
        <v>19.7</v>
      </c>
      <c r="O21" s="3">
        <f>=B21*(N21*F21/10000)*J21</f>
      </c>
    </row>
    <row r="22" spans="1:15" x14ac:dyDescent="0.25">
      <c r="A22" s="2" t="s">
        <v>441</v>
      </c>
      <c r="B22" s="4">
        <v>1</v>
      </c>
      <c r="C22" s="4" t="s">
        <v>27</v>
      </c>
      <c r="D22" s="4"/>
      <c r="E22" s="4"/>
      <c r="F22" s="4">
        <v>29.1</v>
      </c>
      <c r="G22" s="4" t="s">
        <v>442</v>
      </c>
      <c r="H22" s="4"/>
      <c r="I22" s="4"/>
      <c r="J22" s="4">
        <v>4.58</v>
      </c>
      <c r="K22" s="4">
        <v>3</v>
      </c>
      <c r="L22" s="4"/>
      <c r="M22" s="4" t="s">
        <v>18</v>
      </c>
      <c r="N22" s="4">
        <v>19.7</v>
      </c>
      <c r="O22" s="3">
        <f>=B22*(N22*F22/10000)*J22</f>
      </c>
    </row>
    <row r="23" spans="1:15" x14ac:dyDescent="0.25">
      <c r="A23" s="2" t="s">
        <v>443</v>
      </c>
      <c r="B23" s="4">
        <v>1</v>
      </c>
      <c r="C23" s="4" t="s">
        <v>27</v>
      </c>
      <c r="D23" s="4"/>
      <c r="E23" s="4"/>
      <c r="F23" s="4">
        <v>22</v>
      </c>
      <c r="G23" s="4" t="s">
        <v>444</v>
      </c>
      <c r="H23" s="4"/>
      <c r="I23" s="4"/>
      <c r="J23" s="4">
        <v>4.58</v>
      </c>
      <c r="K23" s="4">
        <v>3</v>
      </c>
      <c r="L23" s="4"/>
      <c r="M23" s="4" t="s">
        <v>18</v>
      </c>
      <c r="N23" s="4">
        <v>20</v>
      </c>
      <c r="O23" s="3">
        <f>=B23*(N23*F23/10000)*J23</f>
      </c>
    </row>
    <row r="24" spans="1:15" x14ac:dyDescent="0.25">
      <c r="A24" s="2" t="s">
        <v>445</v>
      </c>
      <c r="B24" s="4">
        <v>1</v>
      </c>
      <c r="C24" s="4" t="s">
        <v>27</v>
      </c>
      <c r="D24" s="4"/>
      <c r="E24" s="4"/>
      <c r="F24" s="4">
        <v>29.9</v>
      </c>
      <c r="G24" s="4" t="s">
        <v>446</v>
      </c>
      <c r="H24" s="4"/>
      <c r="I24" s="4"/>
      <c r="J24" s="4">
        <v>4.58</v>
      </c>
      <c r="K24" s="4">
        <v>3</v>
      </c>
      <c r="L24" s="4"/>
      <c r="M24" s="4" t="s">
        <v>18</v>
      </c>
      <c r="N24" s="4">
        <v>29.6</v>
      </c>
      <c r="O24" s="3">
        <f>=B24*(N24*F24/10000)*J24</f>
      </c>
    </row>
    <row r="25" spans="1:15" x14ac:dyDescent="0.25">
      <c r="A25" s="2" t="s">
        <v>447</v>
      </c>
      <c r="B25" s="4">
        <v>1</v>
      </c>
      <c r="C25" s="4" t="s">
        <v>27</v>
      </c>
      <c r="D25" s="4"/>
      <c r="E25" s="4"/>
      <c r="F25" s="4">
        <v>29.9</v>
      </c>
      <c r="G25" s="4" t="s">
        <v>448</v>
      </c>
      <c r="H25" s="4"/>
      <c r="I25" s="4"/>
      <c r="J25" s="4">
        <v>4.58</v>
      </c>
      <c r="K25" s="4">
        <v>3</v>
      </c>
      <c r="L25" s="4"/>
      <c r="M25" s="4" t="s">
        <v>18</v>
      </c>
      <c r="N25" s="4">
        <v>29.9</v>
      </c>
      <c r="O25" s="3">
        <f>=B25*(N25*F25/10000)*J25</f>
      </c>
    </row>
    <row r="26" spans="1:15" x14ac:dyDescent="0.25">
      <c r="A26" s="2" t="s">
        <v>449</v>
      </c>
      <c r="B26" s="4">
        <v>1</v>
      </c>
      <c r="C26" s="4" t="s">
        <v>27</v>
      </c>
      <c r="D26" s="4"/>
      <c r="E26" s="4"/>
      <c r="F26" s="4">
        <v>19.5</v>
      </c>
      <c r="G26" s="4" t="s">
        <v>450</v>
      </c>
      <c r="H26" s="4"/>
      <c r="I26" s="4"/>
      <c r="J26" s="4">
        <v>4.58</v>
      </c>
      <c r="K26" s="4">
        <v>3</v>
      </c>
      <c r="L26" s="4"/>
      <c r="M26" s="4" t="s">
        <v>18</v>
      </c>
      <c r="N26" s="4">
        <v>14.5</v>
      </c>
      <c r="O26" s="3">
        <f>=B26*(N26*F26/10000)*J26</f>
      </c>
    </row>
    <row r="27" spans="1:15" x14ac:dyDescent="0.25">
      <c r="A27" s="2" t="s">
        <v>451</v>
      </c>
      <c r="B27" s="4">
        <v>1</v>
      </c>
      <c r="C27" s="4" t="s">
        <v>27</v>
      </c>
      <c r="D27" s="4"/>
      <c r="E27" s="4"/>
      <c r="F27" s="4">
        <v>14</v>
      </c>
      <c r="G27" s="4" t="s">
        <v>452</v>
      </c>
      <c r="H27" s="4"/>
      <c r="I27" s="4"/>
      <c r="J27" s="4">
        <v>4.58</v>
      </c>
      <c r="K27" s="4">
        <v>3</v>
      </c>
      <c r="L27" s="4"/>
      <c r="M27" s="4" t="s">
        <v>18</v>
      </c>
      <c r="N27" s="4">
        <v>20</v>
      </c>
      <c r="O27" s="3">
        <f>=B27*(N27*F27/10000)*J27</f>
      </c>
    </row>
    <row r="28" spans="1:15" x14ac:dyDescent="0.25">
      <c r="A28" s="2" t="s">
        <v>453</v>
      </c>
      <c r="B28" s="4">
        <v>1</v>
      </c>
      <c r="C28" s="4" t="s">
        <v>27</v>
      </c>
      <c r="D28" s="4"/>
      <c r="E28" s="4"/>
      <c r="F28" s="4">
        <v>13</v>
      </c>
      <c r="G28" s="4" t="s">
        <v>454</v>
      </c>
      <c r="H28" s="4"/>
      <c r="I28" s="4"/>
      <c r="J28" s="4">
        <v>4.58</v>
      </c>
      <c r="K28" s="4">
        <v>3</v>
      </c>
      <c r="L28" s="4"/>
      <c r="M28" s="4" t="s">
        <v>18</v>
      </c>
      <c r="N28" s="4">
        <v>28</v>
      </c>
      <c r="O28" s="3">
        <f>=B28*(N28*F28/10000)*J28</f>
      </c>
    </row>
    <row r="29" spans="1:15" x14ac:dyDescent="0.25">
      <c r="A29" s="2" t="s">
        <v>455</v>
      </c>
      <c r="B29" s="4">
        <v>1</v>
      </c>
      <c r="C29" s="4" t="s">
        <v>27</v>
      </c>
      <c r="D29" s="4"/>
      <c r="E29" s="4"/>
      <c r="F29" s="4">
        <v>27.5</v>
      </c>
      <c r="G29" s="4" t="s">
        <v>456</v>
      </c>
      <c r="H29" s="4"/>
      <c r="I29" s="4"/>
      <c r="J29" s="4">
        <v>4.58</v>
      </c>
      <c r="K29" s="4">
        <v>3</v>
      </c>
      <c r="L29" s="4"/>
      <c r="M29" s="4" t="s">
        <v>18</v>
      </c>
      <c r="N29" s="4">
        <v>14.5</v>
      </c>
      <c r="O29" s="3">
        <f>=B29*(N29*F29/10000)*J29</f>
      </c>
    </row>
    <row r="30" spans="1:15" x14ac:dyDescent="0.25">
      <c r="A30" s="2" t="s">
        <v>457</v>
      </c>
      <c r="B30" s="4">
        <v>10</v>
      </c>
      <c r="C30" s="4" t="s">
        <v>27</v>
      </c>
      <c r="D30" s="4"/>
      <c r="E30" s="4"/>
      <c r="F30" s="4">
        <v>5</v>
      </c>
      <c r="G30" s="4" t="s">
        <v>458</v>
      </c>
      <c r="H30" s="4"/>
      <c r="I30" s="4"/>
      <c r="J30" s="4">
        <v>4.58</v>
      </c>
      <c r="K30" s="4">
        <v>3</v>
      </c>
      <c r="L30" s="4"/>
      <c r="M30" s="4" t="s">
        <v>18</v>
      </c>
      <c r="N30" s="4">
        <v>8.5</v>
      </c>
      <c r="O30" s="3">
        <f>=B30*(N30*F30/10000)*J30</f>
      </c>
    </row>
    <row r="31" spans="1:15" x14ac:dyDescent="0.25">
      <c r="A31" s="2" t="s">
        <v>459</v>
      </c>
      <c r="B31" s="4">
        <v>111</v>
      </c>
      <c r="C31" s="4" t="s">
        <v>27</v>
      </c>
      <c r="D31" s="4"/>
      <c r="E31" s="4"/>
      <c r="F31" s="4">
        <v>4.7</v>
      </c>
      <c r="G31" s="4" t="s">
        <v>460</v>
      </c>
      <c r="H31" s="4"/>
      <c r="I31" s="4"/>
      <c r="J31" s="4">
        <v>4.58</v>
      </c>
      <c r="K31" s="4">
        <v>3</v>
      </c>
      <c r="L31" s="4"/>
      <c r="M31" s="4" t="s">
        <v>18</v>
      </c>
      <c r="N31" s="4">
        <v>10.5</v>
      </c>
      <c r="O31" s="3">
        <f>=B31*(N31*F31/10000)*J31</f>
      </c>
    </row>
    <row r="32" spans="1:15" x14ac:dyDescent="0.25">
      <c r="A32" s="2" t="s">
        <v>461</v>
      </c>
      <c r="B32" s="4">
        <v>35</v>
      </c>
      <c r="C32" s="4" t="s">
        <v>27</v>
      </c>
      <c r="D32" s="4"/>
      <c r="E32" s="4"/>
      <c r="F32" s="4">
        <v>7.5</v>
      </c>
      <c r="G32" s="4" t="s">
        <v>462</v>
      </c>
      <c r="H32" s="4"/>
      <c r="I32" s="4"/>
      <c r="J32" s="4">
        <v>4.58</v>
      </c>
      <c r="K32" s="4">
        <v>3</v>
      </c>
      <c r="L32" s="4"/>
      <c r="M32" s="4" t="s">
        <v>18</v>
      </c>
      <c r="N32" s="4">
        <v>10.5</v>
      </c>
      <c r="O32" s="3">
        <f>=B32*(N32*F32/10000)*J32</f>
      </c>
    </row>
    <row r="33" spans="1:15" x14ac:dyDescent="0.25">
      <c r="A33" s="2" t="s">
        <v>463</v>
      </c>
      <c r="B33" s="4">
        <v>50</v>
      </c>
      <c r="C33" s="4" t="s">
        <v>27</v>
      </c>
      <c r="D33" s="4"/>
      <c r="E33" s="4"/>
      <c r="F33" s="4">
        <v>10.5</v>
      </c>
      <c r="G33" s="4" t="s">
        <v>464</v>
      </c>
      <c r="H33" s="4"/>
      <c r="I33" s="4"/>
      <c r="J33" s="4">
        <v>4.58</v>
      </c>
      <c r="K33" s="4">
        <v>3</v>
      </c>
      <c r="L33" s="4"/>
      <c r="M33" s="4" t="s">
        <v>18</v>
      </c>
      <c r="N33" s="4">
        <v>14.8</v>
      </c>
      <c r="O33" s="3">
        <f>=B33*(N33*F33/10000)*J33</f>
      </c>
    </row>
    <row r="34" spans="1:15" x14ac:dyDescent="0.25">
      <c r="A34" s="2" t="s">
        <v>465</v>
      </c>
      <c r="B34" s="4">
        <v>23</v>
      </c>
      <c r="C34" s="4" t="s">
        <v>27</v>
      </c>
      <c r="D34" s="4"/>
      <c r="E34" s="4"/>
      <c r="F34" s="4">
        <v>21</v>
      </c>
      <c r="G34" s="4" t="s">
        <v>348</v>
      </c>
      <c r="H34" s="4"/>
      <c r="I34" s="4"/>
      <c r="J34" s="4">
        <v>4.58</v>
      </c>
      <c r="K34" s="4">
        <v>3</v>
      </c>
      <c r="L34" s="4"/>
      <c r="M34" s="4" t="s">
        <v>18</v>
      </c>
      <c r="N34" s="4">
        <v>14.8</v>
      </c>
      <c r="O34" s="3">
        <f>=B34*(N34*F34/10000)*J34</f>
      </c>
    </row>
    <row r="35" spans="1:15" x14ac:dyDescent="0.25">
      <c r="A35" s="2" t="s">
        <v>466</v>
      </c>
      <c r="B35" s="4">
        <v>1</v>
      </c>
      <c r="C35" s="4" t="s">
        <v>27</v>
      </c>
      <c r="D35" s="4"/>
      <c r="E35" s="4"/>
      <c r="F35" s="4">
        <v>76</v>
      </c>
      <c r="G35" s="4" t="s">
        <v>467</v>
      </c>
      <c r="H35" s="4"/>
      <c r="I35" s="4"/>
      <c r="J35" s="4">
        <v>4.58</v>
      </c>
      <c r="K35" s="4">
        <v>3</v>
      </c>
      <c r="L35" s="4"/>
      <c r="M35" s="4" t="s">
        <v>18</v>
      </c>
      <c r="N35" s="4">
        <v>10</v>
      </c>
      <c r="O35" s="3">
        <f>=B35*(N35*F35/10000)*J35</f>
      </c>
    </row>
    <row r="36" spans="1:15" x14ac:dyDescent="0.25">
      <c r="A36" s="2" t="s">
        <v>468</v>
      </c>
      <c r="B36" s="4">
        <v>1</v>
      </c>
      <c r="C36" s="4" t="s">
        <v>27</v>
      </c>
      <c r="D36" s="4"/>
      <c r="E36" s="4"/>
      <c r="F36" s="4">
        <v>12</v>
      </c>
      <c r="G36" s="4" t="s">
        <v>469</v>
      </c>
      <c r="H36" s="4"/>
      <c r="I36" s="4"/>
      <c r="J36" s="4">
        <v>4.58</v>
      </c>
      <c r="K36" s="4">
        <v>3</v>
      </c>
      <c r="L36" s="4"/>
      <c r="M36" s="4" t="s">
        <v>18</v>
      </c>
      <c r="N36" s="4">
        <v>30</v>
      </c>
      <c r="O36" s="3">
        <f>=B36*(N36*F36/10000)*J36</f>
      </c>
    </row>
    <row r="37" spans="1:15" x14ac:dyDescent="0.25">
      <c r="A37" s="2" t="s">
        <v>470</v>
      </c>
      <c r="B37" s="4">
        <v>1</v>
      </c>
      <c r="C37" s="4" t="s">
        <v>27</v>
      </c>
      <c r="D37" s="4"/>
      <c r="E37" s="4"/>
      <c r="F37" s="4">
        <v>10</v>
      </c>
      <c r="G37" s="4" t="s">
        <v>471</v>
      </c>
      <c r="H37" s="4"/>
      <c r="I37" s="4"/>
      <c r="J37" s="4">
        <v>4.58</v>
      </c>
      <c r="K37" s="4">
        <v>3</v>
      </c>
      <c r="L37" s="4"/>
      <c r="M37" s="4" t="s">
        <v>18</v>
      </c>
      <c r="N37" s="4">
        <v>48</v>
      </c>
      <c r="O37" s="3">
        <f>=B37*(N37*F37/10000)*J37</f>
      </c>
    </row>
    <row r="38" spans="1:15" x14ac:dyDescent="0.25">
      <c r="A38" s="2" t="s">
        <v>472</v>
      </c>
      <c r="B38" s="4">
        <v>1</v>
      </c>
      <c r="C38" s="4" t="s">
        <v>27</v>
      </c>
      <c r="D38" s="4"/>
      <c r="E38" s="4"/>
      <c r="F38" s="4">
        <v>50</v>
      </c>
      <c r="G38" s="4" t="s">
        <v>473</v>
      </c>
      <c r="H38" s="4"/>
      <c r="I38" s="4"/>
      <c r="J38" s="4">
        <v>4.58</v>
      </c>
      <c r="K38" s="4">
        <v>3</v>
      </c>
      <c r="L38" s="4"/>
      <c r="M38" s="4" t="s">
        <v>18</v>
      </c>
      <c r="N38" s="4">
        <v>10</v>
      </c>
      <c r="O38" s="3">
        <f>=B38*(N38*F38/10000)*J38</f>
      </c>
    </row>
    <row r="39" spans="1:15" x14ac:dyDescent="0.25">
      <c r="A39" s="2" t="s">
        <v>474</v>
      </c>
      <c r="B39" s="4">
        <v>1</v>
      </c>
      <c r="C39" s="4" t="s">
        <v>27</v>
      </c>
      <c r="D39" s="4"/>
      <c r="E39" s="4"/>
      <c r="F39" s="4">
        <v>67</v>
      </c>
      <c r="G39" s="4" t="s">
        <v>475</v>
      </c>
      <c r="H39" s="4"/>
      <c r="I39" s="4"/>
      <c r="J39" s="4">
        <v>4.58</v>
      </c>
      <c r="K39" s="4">
        <v>3</v>
      </c>
      <c r="L39" s="4"/>
      <c r="M39" s="4" t="s">
        <v>18</v>
      </c>
      <c r="N39" s="4">
        <v>10</v>
      </c>
      <c r="O39" s="3">
        <f>=B39*(N39*F39/10000)*J39</f>
      </c>
    </row>
    <row r="40" spans="1:15" x14ac:dyDescent="0.25">
      <c r="A40" s="2" t="s">
        <v>476</v>
      </c>
      <c r="B40" s="4">
        <v>1</v>
      </c>
      <c r="C40" s="4" t="s">
        <v>27</v>
      </c>
      <c r="D40" s="4"/>
      <c r="E40" s="4"/>
      <c r="F40" s="4">
        <v>12</v>
      </c>
      <c r="G40" s="4" t="s">
        <v>477</v>
      </c>
      <c r="H40" s="4"/>
      <c r="I40" s="4"/>
      <c r="J40" s="4">
        <v>4.58</v>
      </c>
      <c r="K40" s="4">
        <v>3</v>
      </c>
      <c r="L40" s="4"/>
      <c r="M40" s="4" t="s">
        <v>18</v>
      </c>
      <c r="N40" s="4">
        <v>70</v>
      </c>
      <c r="O40" s="3">
        <f>=B40*(N40*F40/10000)*J40</f>
      </c>
    </row>
    <row r="41" spans="1:15" x14ac:dyDescent="0.25">
      <c r="A41" s="2" t="s">
        <v>478</v>
      </c>
      <c r="B41" s="4">
        <v>1</v>
      </c>
      <c r="C41" s="4" t="s">
        <v>27</v>
      </c>
      <c r="D41" s="4"/>
      <c r="E41" s="4"/>
      <c r="F41" s="4">
        <v>13</v>
      </c>
      <c r="G41" s="4" t="s">
        <v>479</v>
      </c>
      <c r="H41" s="4"/>
      <c r="I41" s="4"/>
      <c r="J41" s="4">
        <v>4.58</v>
      </c>
      <c r="K41" s="4">
        <v>3</v>
      </c>
      <c r="L41" s="4"/>
      <c r="M41" s="4" t="s">
        <v>18</v>
      </c>
      <c r="N41" s="4">
        <v>74</v>
      </c>
      <c r="O41" s="3">
        <f>=B41*(N41*F41/10000)*J41</f>
      </c>
    </row>
    <row r="42" spans="1:15" x14ac:dyDescent="0.25">
      <c r="A42" s="2" t="s">
        <v>480</v>
      </c>
      <c r="B42" s="4">
        <v>1</v>
      </c>
      <c r="C42" s="4" t="s">
        <v>27</v>
      </c>
      <c r="D42" s="4"/>
      <c r="E42" s="4"/>
      <c r="F42" s="4">
        <v>100</v>
      </c>
      <c r="G42" s="4" t="s">
        <v>481</v>
      </c>
      <c r="H42" s="4"/>
      <c r="I42" s="4"/>
      <c r="J42" s="4">
        <v>4.58</v>
      </c>
      <c r="K42" s="4">
        <v>2</v>
      </c>
      <c r="L42" s="4"/>
      <c r="M42" s="4" t="s">
        <v>18</v>
      </c>
      <c r="N42" s="4">
        <v>22.5</v>
      </c>
      <c r="O42" s="3">
        <f>=B42*(N42*F42/10000)*J42</f>
      </c>
    </row>
    <row r="43" spans="1:15" x14ac:dyDescent="0.25">
      <c r="A43" s="2" t="s">
        <v>482</v>
      </c>
      <c r="B43" s="4">
        <v>1</v>
      </c>
      <c r="C43" s="4" t="s">
        <v>27</v>
      </c>
      <c r="D43" s="4"/>
      <c r="E43" s="4"/>
      <c r="F43" s="4">
        <v>18</v>
      </c>
      <c r="G43" s="4" t="s">
        <v>483</v>
      </c>
      <c r="H43" s="4"/>
      <c r="I43" s="4"/>
      <c r="J43" s="4">
        <v>4.58</v>
      </c>
      <c r="K43" s="4">
        <v>3</v>
      </c>
      <c r="L43" s="4"/>
      <c r="M43" s="4" t="s">
        <v>18</v>
      </c>
      <c r="N43" s="4">
        <v>51</v>
      </c>
      <c r="O43" s="3">
        <f>=B43*(N43*F43/10000)*J43</f>
      </c>
    </row>
    <row r="44" spans="1:15" x14ac:dyDescent="0.25">
      <c r="A44" s="2" t="s">
        <v>484</v>
      </c>
      <c r="B44" s="4">
        <v>1</v>
      </c>
      <c r="C44" s="4" t="s">
        <v>27</v>
      </c>
      <c r="D44" s="4"/>
      <c r="E44" s="4"/>
      <c r="F44" s="4">
        <v>67.5</v>
      </c>
      <c r="G44" s="4" t="s">
        <v>485</v>
      </c>
      <c r="H44" s="4"/>
      <c r="I44" s="4"/>
      <c r="J44" s="4">
        <v>4.58</v>
      </c>
      <c r="K44" s="4">
        <v>3</v>
      </c>
      <c r="L44" s="4"/>
      <c r="M44" s="4" t="s">
        <v>18</v>
      </c>
      <c r="N44" s="4">
        <v>10.5</v>
      </c>
      <c r="O44" s="3">
        <f>=B44*(N44*F44/10000)*J44</f>
      </c>
    </row>
    <row r="45" spans="1:15" x14ac:dyDescent="0.25">
      <c r="A45" s="2" t="s">
        <v>486</v>
      </c>
      <c r="B45" s="4">
        <v>1</v>
      </c>
      <c r="C45" s="4" t="s">
        <v>27</v>
      </c>
      <c r="D45" s="4"/>
      <c r="E45" s="4"/>
      <c r="F45" s="4">
        <v>12</v>
      </c>
      <c r="G45" s="4" t="s">
        <v>487</v>
      </c>
      <c r="H45" s="4"/>
      <c r="I45" s="4"/>
      <c r="J45" s="4">
        <v>4.58</v>
      </c>
      <c r="K45" s="4">
        <v>2</v>
      </c>
      <c r="L45" s="4"/>
      <c r="M45" s="4" t="s">
        <v>18</v>
      </c>
      <c r="N45" s="4">
        <v>34</v>
      </c>
      <c r="O45" s="3">
        <f>=B45*(N45*F45/10000)*J45</f>
      </c>
    </row>
    <row r="46" spans="1:15" x14ac:dyDescent="0.25">
      <c r="A46" s="2" t="s">
        <v>488</v>
      </c>
      <c r="B46" s="4">
        <v>1</v>
      </c>
      <c r="C46" s="4" t="s">
        <v>27</v>
      </c>
      <c r="D46" s="4"/>
      <c r="E46" s="4"/>
      <c r="F46" s="4">
        <v>35</v>
      </c>
      <c r="G46" s="4" t="s">
        <v>489</v>
      </c>
      <c r="H46" s="4"/>
      <c r="I46" s="4"/>
      <c r="J46" s="4">
        <v>4.58</v>
      </c>
      <c r="K46" s="4">
        <v>3</v>
      </c>
      <c r="L46" s="4"/>
      <c r="M46" s="4" t="s">
        <v>18</v>
      </c>
      <c r="N46" s="4">
        <v>9.5</v>
      </c>
      <c r="O46" s="3">
        <f>=B46*(N46*F46/10000)*J46</f>
      </c>
    </row>
    <row r="47" spans="1:15" x14ac:dyDescent="0.25">
      <c r="A47" s="2" t="s">
        <v>490</v>
      </c>
      <c r="B47" s="4">
        <v>1</v>
      </c>
      <c r="C47" s="4" t="s">
        <v>27</v>
      </c>
      <c r="D47" s="4"/>
      <c r="E47" s="4"/>
      <c r="F47" s="4">
        <v>34.5</v>
      </c>
      <c r="G47" s="4" t="s">
        <v>491</v>
      </c>
      <c r="H47" s="4"/>
      <c r="I47" s="4"/>
      <c r="J47" s="4">
        <v>4.58</v>
      </c>
      <c r="K47" s="4">
        <v>3</v>
      </c>
      <c r="L47" s="4"/>
      <c r="M47" s="4" t="s">
        <v>18</v>
      </c>
      <c r="N47" s="4">
        <v>10</v>
      </c>
      <c r="O47" s="3">
        <f>=B47*(N47*F47/10000)*J47</f>
      </c>
    </row>
    <row r="48" spans="1:15" x14ac:dyDescent="0.25">
      <c r="A48" s="2" t="s">
        <v>492</v>
      </c>
      <c r="B48" s="4">
        <v>3</v>
      </c>
      <c r="C48" s="4" t="s">
        <v>27</v>
      </c>
      <c r="D48" s="4"/>
      <c r="E48" s="4"/>
      <c r="F48" s="4">
        <v>35</v>
      </c>
      <c r="G48" s="4" t="s">
        <v>493</v>
      </c>
      <c r="H48" s="4"/>
      <c r="I48" s="4"/>
      <c r="J48" s="4">
        <v>4.58</v>
      </c>
      <c r="K48" s="4">
        <v>3</v>
      </c>
      <c r="L48" s="4"/>
      <c r="M48" s="4" t="s">
        <v>18</v>
      </c>
      <c r="N48" s="4">
        <v>10</v>
      </c>
      <c r="O48" s="3">
        <f>=B48*(N48*F48/10000)*J48</f>
      </c>
    </row>
    <row r="49" spans="1:15" x14ac:dyDescent="0.25">
      <c r="A49" s="2" t="s">
        <v>494</v>
      </c>
      <c r="B49" s="4">
        <v>1</v>
      </c>
      <c r="C49" s="4" t="s">
        <v>27</v>
      </c>
      <c r="D49" s="4"/>
      <c r="E49" s="4"/>
      <c r="F49" s="4">
        <v>14</v>
      </c>
      <c r="G49" s="4" t="s">
        <v>495</v>
      </c>
      <c r="H49" s="4"/>
      <c r="I49" s="4"/>
      <c r="J49" s="4">
        <v>4.58</v>
      </c>
      <c r="K49" s="4">
        <v>3</v>
      </c>
      <c r="L49" s="4"/>
      <c r="M49" s="4" t="s">
        <v>18</v>
      </c>
      <c r="N49" s="4">
        <v>205</v>
      </c>
      <c r="O49" s="3">
        <f>=B49*(N49*F49/10000)*J49</f>
      </c>
    </row>
    <row r="50" spans="1:15" x14ac:dyDescent="0.25">
      <c r="A50" s="2" t="s">
        <v>496</v>
      </c>
      <c r="B50" s="4">
        <v>1</v>
      </c>
      <c r="C50" s="4" t="s">
        <v>27</v>
      </c>
      <c r="D50" s="4"/>
      <c r="E50" s="4"/>
      <c r="F50" s="4">
        <v>16</v>
      </c>
      <c r="G50" s="4" t="s">
        <v>497</v>
      </c>
      <c r="H50" s="4"/>
      <c r="I50" s="4"/>
      <c r="J50" s="4">
        <v>4.58</v>
      </c>
      <c r="K50" s="4">
        <v>3</v>
      </c>
      <c r="L50" s="4"/>
      <c r="M50" s="4" t="s">
        <v>18</v>
      </c>
      <c r="N50" s="4">
        <v>205</v>
      </c>
      <c r="O50" s="3">
        <f>=B50*(N50*F50/10000)*J50</f>
      </c>
    </row>
    <row r="51" spans="1:15" x14ac:dyDescent="0.25">
      <c r="A51" s="2" t="s">
        <v>498</v>
      </c>
      <c r="B51" s="4">
        <v>1</v>
      </c>
      <c r="C51" s="4" t="s">
        <v>27</v>
      </c>
      <c r="D51" s="4"/>
      <c r="E51" s="4"/>
      <c r="F51" s="4">
        <v>29.5</v>
      </c>
      <c r="G51" s="4" t="s">
        <v>499</v>
      </c>
      <c r="H51" s="4"/>
      <c r="I51" s="4"/>
      <c r="J51" s="4">
        <v>4.58</v>
      </c>
      <c r="K51" s="4">
        <v>3</v>
      </c>
      <c r="L51" s="4"/>
      <c r="M51" s="4" t="s">
        <v>18</v>
      </c>
      <c r="N51" s="4">
        <v>205</v>
      </c>
      <c r="O51" s="3">
        <f>=B51*(N51*F51/10000)*J51</f>
      </c>
    </row>
    <row r="52" spans="1:15" x14ac:dyDescent="0.25">
      <c r="A52" s="2" t="s">
        <v>500</v>
      </c>
      <c r="B52" s="4">
        <v>1</v>
      </c>
      <c r="C52" s="4" t="s">
        <v>27</v>
      </c>
      <c r="D52" s="4"/>
      <c r="E52" s="4"/>
      <c r="F52" s="4">
        <v>218</v>
      </c>
      <c r="G52" s="4" t="s">
        <v>501</v>
      </c>
      <c r="H52" s="4"/>
      <c r="I52" s="4"/>
      <c r="J52" s="4">
        <v>4.58</v>
      </c>
      <c r="K52" s="4">
        <v>3</v>
      </c>
      <c r="L52" s="4"/>
      <c r="M52" s="4" t="s">
        <v>18</v>
      </c>
      <c r="N52" s="4">
        <v>11</v>
      </c>
      <c r="O52" s="3">
        <f>=B52*(N52*F52/10000)*J52</f>
      </c>
    </row>
    <row r="53" spans="1:15" x14ac:dyDescent="0.25">
      <c r="A53" s="2" t="s">
        <v>502</v>
      </c>
      <c r="B53" s="4">
        <v>1</v>
      </c>
      <c r="C53" s="4" t="s">
        <v>27</v>
      </c>
      <c r="D53" s="4"/>
      <c r="E53" s="4"/>
      <c r="F53" s="4">
        <v>28</v>
      </c>
      <c r="G53" s="4" t="s">
        <v>503</v>
      </c>
      <c r="H53" s="4"/>
      <c r="I53" s="4"/>
      <c r="J53" s="4">
        <v>4.58</v>
      </c>
      <c r="K53" s="4">
        <v>3</v>
      </c>
      <c r="L53" s="4"/>
      <c r="M53" s="4" t="s">
        <v>18</v>
      </c>
      <c r="N53" s="4">
        <v>300</v>
      </c>
      <c r="O53" s="3">
        <f>=B53*(N53*F53/10000)*J53</f>
      </c>
    </row>
    <row r="54" spans="1:15" x14ac:dyDescent="0.25">
      <c r="A54" s="2" t="s">
        <v>504</v>
      </c>
      <c r="B54" s="4">
        <v>1</v>
      </c>
      <c r="C54" s="4" t="s">
        <v>27</v>
      </c>
      <c r="D54" s="4"/>
      <c r="E54" s="4"/>
      <c r="F54" s="4">
        <v>36</v>
      </c>
      <c r="G54" s="4" t="s">
        <v>505</v>
      </c>
      <c r="H54" s="4"/>
      <c r="I54" s="4"/>
      <c r="J54" s="4">
        <v>4.58</v>
      </c>
      <c r="K54" s="4">
        <v>3</v>
      </c>
      <c r="L54" s="4"/>
      <c r="M54" s="4" t="s">
        <v>18</v>
      </c>
      <c r="N54" s="4">
        <v>110</v>
      </c>
      <c r="O54" s="3">
        <f>=B54*(N54*F54/10000)*J54</f>
      </c>
    </row>
    <row r="55" spans="1:15" x14ac:dyDescent="0.25">
      <c r="A55" s="2" t="s">
        <v>506</v>
      </c>
      <c r="B55" s="4">
        <v>1</v>
      </c>
      <c r="C55" s="4" t="s">
        <v>27</v>
      </c>
      <c r="D55" s="4"/>
      <c r="E55" s="4"/>
      <c r="F55" s="4">
        <v>180</v>
      </c>
      <c r="G55" s="4" t="s">
        <v>507</v>
      </c>
      <c r="H55" s="4"/>
      <c r="I55" s="4"/>
      <c r="J55" s="4">
        <v>4.58</v>
      </c>
      <c r="K55" s="4">
        <v>3</v>
      </c>
      <c r="L55" s="4"/>
      <c r="M55" s="4" t="s">
        <v>18</v>
      </c>
      <c r="N55" s="4">
        <v>34</v>
      </c>
      <c r="O55" s="3">
        <f>=B55*(N55*F55/10000)*J55</f>
      </c>
    </row>
    <row r="56" spans="1:15" x14ac:dyDescent="0.25">
      <c r="A56" s="2" t="s">
        <v>508</v>
      </c>
      <c r="B56" s="4">
        <v>1</v>
      </c>
      <c r="C56" s="4" t="s">
        <v>27</v>
      </c>
      <c r="D56" s="4"/>
      <c r="E56" s="4"/>
      <c r="F56" s="4">
        <v>17.5</v>
      </c>
      <c r="G56" s="4" t="s">
        <v>509</v>
      </c>
      <c r="H56" s="4"/>
      <c r="I56" s="4"/>
      <c r="J56" s="4">
        <v>4.58</v>
      </c>
      <c r="K56" s="4">
        <v>3</v>
      </c>
      <c r="L56" s="4"/>
      <c r="M56" s="4" t="s">
        <v>18</v>
      </c>
      <c r="N56" s="4">
        <v>257</v>
      </c>
      <c r="O56" s="3">
        <f>=B56*(N56*F56/10000)*J56</f>
      </c>
    </row>
    <row r="57" spans="1:15" x14ac:dyDescent="0.25">
      <c r="A57" s="2" t="s">
        <v>510</v>
      </c>
      <c r="B57" s="4">
        <v>3</v>
      </c>
      <c r="C57" s="4" t="s">
        <v>27</v>
      </c>
      <c r="D57" s="4"/>
      <c r="E57" s="4"/>
      <c r="F57" s="4">
        <v>15</v>
      </c>
      <c r="G57" s="4" t="s">
        <v>511</v>
      </c>
      <c r="H57" s="4"/>
      <c r="I57" s="4"/>
      <c r="J57" s="4">
        <v>4.58</v>
      </c>
      <c r="K57" s="4">
        <v>3</v>
      </c>
      <c r="L57" s="4"/>
      <c r="M57" s="4" t="s">
        <v>18</v>
      </c>
      <c r="N57" s="4">
        <v>293</v>
      </c>
      <c r="O57" s="3">
        <f>=B57*(N57*F57/10000)*J57</f>
      </c>
    </row>
    <row r="58" spans="1:15" x14ac:dyDescent="0.25">
      <c r="A58" s="2" t="s">
        <v>512</v>
      </c>
      <c r="B58" s="4">
        <v>3</v>
      </c>
      <c r="C58" s="4" t="s">
        <v>27</v>
      </c>
      <c r="D58" s="4"/>
      <c r="E58" s="4"/>
      <c r="F58" s="4">
        <v>18</v>
      </c>
      <c r="G58" s="4" t="s">
        <v>513</v>
      </c>
      <c r="H58" s="4"/>
      <c r="I58" s="4"/>
      <c r="J58" s="4">
        <v>4.58</v>
      </c>
      <c r="K58" s="4">
        <v>3</v>
      </c>
      <c r="L58" s="4"/>
      <c r="M58" s="4" t="s">
        <v>18</v>
      </c>
      <c r="N58" s="4">
        <v>295</v>
      </c>
      <c r="O58" s="3">
        <f>=B58*(N58*F58/10000)*J58</f>
      </c>
    </row>
    <row r="59" spans="1:15" x14ac:dyDescent="0.25">
      <c r="A59" s="2" t="s">
        <v>514</v>
      </c>
      <c r="B59" s="4">
        <v>1</v>
      </c>
      <c r="C59" s="4" t="s">
        <v>27</v>
      </c>
      <c r="D59" s="4"/>
      <c r="E59" s="4"/>
      <c r="F59" s="4">
        <v>34.9</v>
      </c>
      <c r="G59" s="4" t="s">
        <v>515</v>
      </c>
      <c r="H59" s="4"/>
      <c r="I59" s="4"/>
      <c r="J59" s="4">
        <v>4.58</v>
      </c>
      <c r="K59" s="4">
        <v>3</v>
      </c>
      <c r="L59" s="4"/>
      <c r="M59" s="4" t="s">
        <v>18</v>
      </c>
      <c r="N59" s="4">
        <v>27</v>
      </c>
      <c r="O59" s="3">
        <f>=B59*(N59*F59/10000)*J59</f>
      </c>
    </row>
    <row r="60" spans="1:15" x14ac:dyDescent="0.25">
      <c r="A60" s="2" t="s">
        <v>516</v>
      </c>
      <c r="B60" s="4">
        <v>1</v>
      </c>
      <c r="C60" s="4" t="s">
        <v>27</v>
      </c>
      <c r="D60" s="4"/>
      <c r="E60" s="4"/>
      <c r="F60" s="4">
        <v>29.9</v>
      </c>
      <c r="G60" s="4" t="s">
        <v>517</v>
      </c>
      <c r="H60" s="4"/>
      <c r="I60" s="4"/>
      <c r="J60" s="4">
        <v>4.58</v>
      </c>
      <c r="K60" s="4">
        <v>3</v>
      </c>
      <c r="L60" s="4"/>
      <c r="M60" s="4" t="s">
        <v>18</v>
      </c>
      <c r="N60" s="4">
        <v>27</v>
      </c>
      <c r="O60" s="3">
        <f>=B60*(N60*F60/10000)*J60</f>
      </c>
    </row>
    <row r="61" spans="1:15" x14ac:dyDescent="0.25">
      <c r="A61" s="2" t="s">
        <v>518</v>
      </c>
      <c r="B61" s="4">
        <v>2</v>
      </c>
      <c r="C61" s="4" t="s">
        <v>27</v>
      </c>
      <c r="D61" s="4"/>
      <c r="E61" s="4"/>
      <c r="F61" s="4">
        <v>25</v>
      </c>
      <c r="G61" s="4" t="s">
        <v>519</v>
      </c>
      <c r="H61" s="4"/>
      <c r="I61" s="4"/>
      <c r="J61" s="4">
        <v>4.58</v>
      </c>
      <c r="K61" s="4">
        <v>3</v>
      </c>
      <c r="L61" s="4"/>
      <c r="M61" s="4" t="s">
        <v>18</v>
      </c>
      <c r="N61" s="4">
        <v>31</v>
      </c>
      <c r="O61" s="3">
        <f>=B61*(N61*F61/10000)*J61</f>
      </c>
    </row>
    <row r="62" spans="1:15" x14ac:dyDescent="0.25">
      <c r="A62" s="2" t="s">
        <v>520</v>
      </c>
      <c r="B62" s="4">
        <v>2</v>
      </c>
      <c r="C62" s="4" t="s">
        <v>27</v>
      </c>
      <c r="D62" s="4"/>
      <c r="E62" s="4"/>
      <c r="F62" s="4">
        <v>273</v>
      </c>
      <c r="G62" s="4" t="s">
        <v>521</v>
      </c>
      <c r="H62" s="4"/>
      <c r="I62" s="4"/>
      <c r="J62" s="4">
        <v>4.58</v>
      </c>
      <c r="K62" s="4">
        <v>3</v>
      </c>
      <c r="L62" s="4"/>
      <c r="M62" s="4" t="s">
        <v>18</v>
      </c>
      <c r="N62" s="4">
        <v>28.5</v>
      </c>
      <c r="O62" s="3">
        <f>=B62*(N62*F62/10000)*J62</f>
      </c>
    </row>
    <row r="63" spans="1:15" x14ac:dyDescent="0.25">
      <c r="A63" s="2" t="s">
        <v>522</v>
      </c>
      <c r="B63" s="4">
        <v>7</v>
      </c>
      <c r="C63" s="4" t="s">
        <v>27</v>
      </c>
      <c r="D63" s="4"/>
      <c r="E63" s="4"/>
      <c r="F63" s="4">
        <v>29.7</v>
      </c>
      <c r="G63" s="4" t="s">
        <v>346</v>
      </c>
      <c r="H63" s="4"/>
      <c r="I63" s="4"/>
      <c r="J63" s="4">
        <v>4.58</v>
      </c>
      <c r="K63" s="4">
        <v>4</v>
      </c>
      <c r="L63" s="4"/>
      <c r="M63" s="4" t="s">
        <v>18</v>
      </c>
      <c r="N63" s="4">
        <v>21</v>
      </c>
      <c r="O63" s="3">
        <f>=B63*(N63*F63/10000)*J63</f>
      </c>
    </row>
    <row r="64" spans="1:15" x14ac:dyDescent="0.25">
      <c r="A64" s="2" t="s">
        <v>523</v>
      </c>
      <c r="B64" s="4">
        <v>3</v>
      </c>
      <c r="C64" s="4" t="s">
        <v>27</v>
      </c>
      <c r="D64" s="4"/>
      <c r="E64" s="4"/>
      <c r="F64" s="4">
        <v>13.5</v>
      </c>
      <c r="G64" s="4" t="s">
        <v>524</v>
      </c>
      <c r="H64" s="4"/>
      <c r="I64" s="4"/>
      <c r="J64" s="4">
        <v>4.58</v>
      </c>
      <c r="K64" s="4">
        <v>4</v>
      </c>
      <c r="L64" s="4"/>
      <c r="M64" s="4" t="s">
        <v>18</v>
      </c>
      <c r="N64" s="4">
        <v>32</v>
      </c>
      <c r="O64" s="3">
        <f>=B64*(N64*F64/10000)*J64</f>
      </c>
    </row>
    <row r="65" spans="1:15" x14ac:dyDescent="0.25">
      <c r="A65" s="2" t="s">
        <v>525</v>
      </c>
      <c r="B65" s="4">
        <v>1</v>
      </c>
      <c r="C65" s="4" t="s">
        <v>27</v>
      </c>
      <c r="D65" s="4"/>
      <c r="E65" s="4"/>
      <c r="F65" s="4">
        <v>30.1</v>
      </c>
      <c r="G65" s="4" t="s">
        <v>526</v>
      </c>
      <c r="H65" s="4"/>
      <c r="I65" s="4"/>
      <c r="J65" s="4">
        <v>4.58</v>
      </c>
      <c r="K65" s="4">
        <v>2</v>
      </c>
      <c r="L65" s="4"/>
      <c r="M65" s="4" t="s">
        <v>18</v>
      </c>
      <c r="N65" s="4">
        <v>21.8</v>
      </c>
      <c r="O65" s="3">
        <f>=B65*(N65*F65/10000)*J65</f>
      </c>
    </row>
    <row r="66" spans="1:15" x14ac:dyDescent="0.25">
      <c r="A66" s="2" t="s">
        <v>527</v>
      </c>
      <c r="B66" s="4">
        <v>1</v>
      </c>
      <c r="C66" s="4" t="s">
        <v>27</v>
      </c>
      <c r="D66" s="4"/>
      <c r="E66" s="4"/>
      <c r="F66" s="4">
        <v>29.6</v>
      </c>
      <c r="G66" s="4" t="s">
        <v>528</v>
      </c>
      <c r="H66" s="4"/>
      <c r="I66" s="4"/>
      <c r="J66" s="4">
        <v>4.58</v>
      </c>
      <c r="K66" s="4">
        <v>2</v>
      </c>
      <c r="L66" s="4"/>
      <c r="M66" s="4" t="s">
        <v>18</v>
      </c>
      <c r="N66" s="4">
        <v>21</v>
      </c>
      <c r="O66" s="3">
        <f>=B66*(N66*F66/10000)*J66</f>
      </c>
    </row>
    <row r="67" spans="1:15" x14ac:dyDescent="0.25">
      <c r="A67" s="2" t="s">
        <v>529</v>
      </c>
      <c r="B67" s="4">
        <v>1</v>
      </c>
      <c r="C67" s="4" t="s">
        <v>27</v>
      </c>
      <c r="D67" s="4"/>
      <c r="E67" s="4"/>
      <c r="F67" s="4">
        <v>19.5</v>
      </c>
      <c r="G67" s="4" t="s">
        <v>530</v>
      </c>
      <c r="H67" s="4"/>
      <c r="I67" s="4"/>
      <c r="J67" s="4">
        <v>4.58</v>
      </c>
      <c r="K67" s="4">
        <v>3</v>
      </c>
      <c r="L67" s="4"/>
      <c r="M67" s="4" t="s">
        <v>18</v>
      </c>
      <c r="N67" s="4">
        <v>100</v>
      </c>
      <c r="O67" s="3">
        <f>=B67*(N67*F67/10000)*J67</f>
      </c>
    </row>
    <row r="68" spans="1:15" x14ac:dyDescent="0.25">
      <c r="A68" s="2" t="s">
        <v>531</v>
      </c>
      <c r="B68" s="4">
        <v>1</v>
      </c>
      <c r="C68" s="4" t="s">
        <v>27</v>
      </c>
      <c r="D68" s="4"/>
      <c r="E68" s="4"/>
      <c r="F68" s="4">
        <v>40</v>
      </c>
      <c r="G68" s="4" t="s">
        <v>532</v>
      </c>
      <c r="H68" s="4"/>
      <c r="I68" s="4"/>
      <c r="J68" s="4">
        <v>4.58</v>
      </c>
      <c r="K68" s="4">
        <v>3</v>
      </c>
      <c r="L68" s="4"/>
      <c r="M68" s="4" t="s">
        <v>18</v>
      </c>
      <c r="N68" s="4">
        <v>54.5</v>
      </c>
      <c r="O68" s="3">
        <f>=B68*(N68*F68/10000)*J68</f>
      </c>
    </row>
    <row r="69" spans="1:15" x14ac:dyDescent="0.25">
      <c r="A69" s="2" t="s">
        <v>533</v>
      </c>
      <c r="B69" s="4">
        <v>1</v>
      </c>
      <c r="C69" s="4" t="s">
        <v>27</v>
      </c>
      <c r="D69" s="4"/>
      <c r="E69" s="4"/>
      <c r="F69" s="4">
        <v>100</v>
      </c>
      <c r="G69" s="4" t="s">
        <v>534</v>
      </c>
      <c r="H69" s="4"/>
      <c r="I69" s="4"/>
      <c r="J69" s="4">
        <v>4.58</v>
      </c>
      <c r="K69" s="4">
        <v>3</v>
      </c>
      <c r="L69" s="4"/>
      <c r="M69" s="4" t="s">
        <v>18</v>
      </c>
      <c r="N69" s="4">
        <v>125</v>
      </c>
      <c r="O69" s="3">
        <f>=B69*(N69*F69/10000)*J69</f>
      </c>
    </row>
    <row r="70" spans="1:15" x14ac:dyDescent="0.25">
      <c r="A70" s="2" t="s">
        <v>535</v>
      </c>
      <c r="B70" s="4">
        <v>1</v>
      </c>
      <c r="C70" s="4" t="s">
        <v>27</v>
      </c>
      <c r="D70" s="4"/>
      <c r="E70" s="4"/>
      <c r="F70" s="4">
        <v>45</v>
      </c>
      <c r="G70" s="4" t="s">
        <v>536</v>
      </c>
      <c r="H70" s="4"/>
      <c r="I70" s="4"/>
      <c r="J70" s="4">
        <v>4.58</v>
      </c>
      <c r="K70" s="4">
        <v>3</v>
      </c>
      <c r="L70" s="4"/>
      <c r="M70" s="4" t="s">
        <v>18</v>
      </c>
      <c r="N70" s="4">
        <v>37</v>
      </c>
      <c r="O70" s="3">
        <f>=B70*(N70*F70/10000)*J70</f>
      </c>
    </row>
    <row r="71" spans="1:15" x14ac:dyDescent="0.25">
      <c r="A71" s="2" t="s">
        <v>537</v>
      </c>
      <c r="B71" s="4">
        <v>1</v>
      </c>
      <c r="C71" s="4" t="s">
        <v>27</v>
      </c>
      <c r="D71" s="4"/>
      <c r="E71" s="4"/>
      <c r="F71" s="4">
        <v>250</v>
      </c>
      <c r="G71" s="4" t="s">
        <v>538</v>
      </c>
      <c r="H71" s="4"/>
      <c r="I71" s="4"/>
      <c r="J71" s="4">
        <v>4.58</v>
      </c>
      <c r="K71" s="4">
        <v>3</v>
      </c>
      <c r="L71" s="4"/>
      <c r="M71" s="4" t="s">
        <v>18</v>
      </c>
      <c r="N71" s="4">
        <v>12.5</v>
      </c>
      <c r="O71" s="3">
        <f>=B71*(N71*F71/10000)*J71</f>
      </c>
    </row>
    <row r="72" spans="1:15" x14ac:dyDescent="0.25">
      <c r="A72" s="2" t="s">
        <v>539</v>
      </c>
      <c r="B72" s="4">
        <v>1</v>
      </c>
      <c r="C72" s="4" t="s">
        <v>27</v>
      </c>
      <c r="D72" s="4"/>
      <c r="E72" s="4"/>
      <c r="F72" s="4">
        <v>19.5</v>
      </c>
      <c r="G72" s="4" t="s">
        <v>540</v>
      </c>
      <c r="H72" s="4"/>
      <c r="I72" s="4"/>
      <c r="J72" s="4">
        <v>4.58</v>
      </c>
      <c r="K72" s="4">
        <v>3</v>
      </c>
      <c r="L72" s="4"/>
      <c r="M72" s="4" t="s">
        <v>18</v>
      </c>
      <c r="N72" s="4">
        <v>60</v>
      </c>
      <c r="O72" s="3">
        <f>=B72*(N72*F72/10000)*J72</f>
      </c>
    </row>
    <row r="73" spans="1:15" x14ac:dyDescent="0.25">
      <c r="A73" s="2" t="s">
        <v>541</v>
      </c>
      <c r="B73" s="4">
        <v>1</v>
      </c>
      <c r="C73" s="4" t="s">
        <v>27</v>
      </c>
      <c r="D73" s="4"/>
      <c r="E73" s="4"/>
      <c r="F73" s="4">
        <v>40</v>
      </c>
      <c r="G73" s="4" t="s">
        <v>542</v>
      </c>
      <c r="H73" s="4"/>
      <c r="I73" s="4"/>
      <c r="J73" s="4">
        <v>4.58</v>
      </c>
      <c r="K73" s="4">
        <v>3</v>
      </c>
      <c r="L73" s="4"/>
      <c r="M73" s="4" t="s">
        <v>18</v>
      </c>
      <c r="N73" s="4">
        <v>92</v>
      </c>
      <c r="O73" s="3">
        <f>=B73*(N73*F73/10000)*J73</f>
      </c>
    </row>
    <row r="74" spans="1:15" x14ac:dyDescent="0.25">
      <c r="A74" s="2" t="s">
        <v>543</v>
      </c>
      <c r="B74" s="4">
        <v>1</v>
      </c>
      <c r="C74" s="4" t="s">
        <v>27</v>
      </c>
      <c r="D74" s="4"/>
      <c r="E74" s="4"/>
      <c r="F74" s="4">
        <v>57.5</v>
      </c>
      <c r="G74" s="4" t="s">
        <v>544</v>
      </c>
      <c r="H74" s="4"/>
      <c r="I74" s="4"/>
      <c r="J74" s="4">
        <v>4.58</v>
      </c>
      <c r="K74" s="4">
        <v>3</v>
      </c>
      <c r="L74" s="4"/>
      <c r="M74" s="4" t="s">
        <v>18</v>
      </c>
      <c r="N74" s="4">
        <v>59.5</v>
      </c>
      <c r="O74" s="3">
        <f>=B74*(N74*F74/10000)*J74</f>
      </c>
    </row>
    <row r="75" spans="1:15" x14ac:dyDescent="0.25">
      <c r="A75" s="2" t="s">
        <v>545</v>
      </c>
      <c r="B75" s="4">
        <v>0</v>
      </c>
      <c r="C75" s="4" t="s">
        <v>27</v>
      </c>
      <c r="D75" s="4"/>
      <c r="E75" s="4"/>
      <c r="F75" s="4">
        <v>37</v>
      </c>
      <c r="G75" s="4" t="s">
        <v>546</v>
      </c>
      <c r="H75" s="4"/>
      <c r="I75" s="4"/>
      <c r="J75" s="4">
        <v>4.58</v>
      </c>
      <c r="K75" s="4">
        <v>3</v>
      </c>
      <c r="L75" s="4"/>
      <c r="M75" s="4" t="s">
        <v>18</v>
      </c>
      <c r="N75" s="4">
        <v>45</v>
      </c>
      <c r="O75" s="3">
        <f>=B75*(N75*F75/10000)*J75</f>
      </c>
    </row>
    <row r="76" spans="1:15" x14ac:dyDescent="0.25">
      <c r="A76" s="2" t="s">
        <v>547</v>
      </c>
      <c r="B76" s="4">
        <v>1</v>
      </c>
      <c r="C76" s="4" t="s">
        <v>27</v>
      </c>
      <c r="D76" s="4"/>
      <c r="E76" s="4"/>
      <c r="F76" s="4">
        <v>23.5</v>
      </c>
      <c r="G76" s="4" t="s">
        <v>548</v>
      </c>
      <c r="H76" s="4"/>
      <c r="I76" s="4"/>
      <c r="J76" s="4">
        <v>4.58</v>
      </c>
      <c r="K76" s="4">
        <v>3</v>
      </c>
      <c r="L76" s="4"/>
      <c r="M76" s="4" t="s">
        <v>18</v>
      </c>
      <c r="N76" s="4">
        <v>58.5</v>
      </c>
      <c r="O76" s="3">
        <f>=B76*(N76*F76/10000)*J76</f>
      </c>
    </row>
    <row r="77" spans="1:15" x14ac:dyDescent="0.25">
      <c r="A77" s="2" t="s">
        <v>549</v>
      </c>
      <c r="B77" s="4">
        <v>6</v>
      </c>
      <c r="C77" s="4" t="s">
        <v>27</v>
      </c>
      <c r="D77" s="4"/>
      <c r="E77" s="4"/>
      <c r="F77" s="4">
        <v>10</v>
      </c>
      <c r="G77" s="4" t="s">
        <v>550</v>
      </c>
      <c r="H77" s="4"/>
      <c r="I77" s="4"/>
      <c r="J77" s="4">
        <v>4.58</v>
      </c>
      <c r="K77" s="4">
        <v>3</v>
      </c>
      <c r="L77" s="4"/>
      <c r="M77" s="4" t="s">
        <v>18</v>
      </c>
      <c r="N77" s="4">
        <v>15</v>
      </c>
      <c r="O77" s="3">
        <f>=B77*(N77*F77/10000)*J77</f>
      </c>
    </row>
    <row r="78" spans="1:15" x14ac:dyDescent="0.25">
      <c r="A78" s="2" t="s">
        <v>551</v>
      </c>
      <c r="B78" s="4">
        <v>4</v>
      </c>
      <c r="C78" s="4" t="s">
        <v>27</v>
      </c>
      <c r="D78" s="4"/>
      <c r="E78" s="4"/>
      <c r="F78" s="4">
        <v>43</v>
      </c>
      <c r="G78" s="4" t="s">
        <v>552</v>
      </c>
      <c r="H78" s="4"/>
      <c r="I78" s="4"/>
      <c r="J78" s="4">
        <v>4.58</v>
      </c>
      <c r="K78" s="4">
        <v>3</v>
      </c>
      <c r="L78" s="4"/>
      <c r="M78" s="4" t="s">
        <v>18</v>
      </c>
      <c r="N78" s="4">
        <v>120</v>
      </c>
      <c r="O78" s="3">
        <f>=B78*(N78*F78/10000)*J78</f>
      </c>
    </row>
    <row r="79" spans="1:15" x14ac:dyDescent="0.25">
      <c r="A79" s="2" t="s">
        <v>553</v>
      </c>
      <c r="B79" s="4">
        <v>1</v>
      </c>
      <c r="C79" s="4" t="s">
        <v>27</v>
      </c>
      <c r="D79" s="4"/>
      <c r="E79" s="4"/>
      <c r="F79" s="4">
        <v>15</v>
      </c>
      <c r="G79" s="4" t="s">
        <v>554</v>
      </c>
      <c r="H79" s="4"/>
      <c r="I79" s="4"/>
      <c r="J79" s="4">
        <v>4.58</v>
      </c>
      <c r="K79" s="4">
        <v>3</v>
      </c>
      <c r="L79" s="4"/>
      <c r="M79" s="4" t="s">
        <v>18</v>
      </c>
      <c r="N79" s="4">
        <v>45</v>
      </c>
      <c r="O79" s="3">
        <f>=B79*(N79*F79/10000)*J79</f>
      </c>
    </row>
    <row r="80" spans="1:15" x14ac:dyDescent="0.25">
      <c r="A80" s="2" t="s">
        <v>555</v>
      </c>
      <c r="B80" s="4">
        <v>3</v>
      </c>
      <c r="C80" s="4" t="s">
        <v>27</v>
      </c>
      <c r="D80" s="4"/>
      <c r="E80" s="4"/>
      <c r="F80" s="4">
        <v>20</v>
      </c>
      <c r="G80" s="4" t="s">
        <v>556</v>
      </c>
      <c r="H80" s="4"/>
      <c r="I80" s="4"/>
      <c r="J80" s="4">
        <v>4.58</v>
      </c>
      <c r="K80" s="4">
        <v>3</v>
      </c>
      <c r="L80" s="4"/>
      <c r="M80" s="4" t="s">
        <v>18</v>
      </c>
      <c r="N80" s="4">
        <v>45</v>
      </c>
      <c r="O80" s="3">
        <f>=B80*(N80*F80/10000)*J80</f>
      </c>
    </row>
    <row r="81" spans="1:15" x14ac:dyDescent="0.25">
      <c r="A81" s="2" t="s">
        <v>557</v>
      </c>
      <c r="B81" s="4">
        <v>1</v>
      </c>
      <c r="C81" s="4" t="s">
        <v>27</v>
      </c>
      <c r="D81" s="4"/>
      <c r="E81" s="4"/>
      <c r="F81" s="4">
        <v>52.5</v>
      </c>
      <c r="G81" s="4" t="s">
        <v>558</v>
      </c>
      <c r="H81" s="4"/>
      <c r="I81" s="4"/>
      <c r="J81" s="4">
        <v>4.58</v>
      </c>
      <c r="K81" s="4">
        <v>3</v>
      </c>
      <c r="L81" s="4"/>
      <c r="M81" s="4" t="s">
        <v>18</v>
      </c>
      <c r="N81" s="4">
        <v>200</v>
      </c>
      <c r="O81" s="3">
        <f>=B81*(N81*F81/10000)*J81</f>
      </c>
    </row>
    <row r="82" spans="1:15" x14ac:dyDescent="0.25">
      <c r="A82" s="2" t="s">
        <v>559</v>
      </c>
      <c r="B82" s="4">
        <v>1</v>
      </c>
      <c r="C82" s="4" t="s">
        <v>27</v>
      </c>
      <c r="D82" s="4"/>
      <c r="E82" s="4"/>
      <c r="F82" s="4">
        <v>22.5</v>
      </c>
      <c r="G82" s="4" t="s">
        <v>560</v>
      </c>
      <c r="H82" s="4"/>
      <c r="I82" s="4"/>
      <c r="J82" s="4">
        <v>4.58</v>
      </c>
      <c r="K82" s="4">
        <v>3</v>
      </c>
      <c r="L82" s="4"/>
      <c r="M82" s="4" t="s">
        <v>18</v>
      </c>
      <c r="N82" s="4">
        <v>300</v>
      </c>
      <c r="O82" s="3">
        <f>=B82*(N82*F82/10000)*J82</f>
      </c>
    </row>
    <row r="83" spans="1:15" x14ac:dyDescent="0.25">
      <c r="A83" s="2" t="s">
        <v>561</v>
      </c>
      <c r="B83" s="4">
        <v>1</v>
      </c>
      <c r="C83" s="4" t="s">
        <v>27</v>
      </c>
      <c r="D83" s="4"/>
      <c r="E83" s="4"/>
      <c r="F83" s="4">
        <v>35.5</v>
      </c>
      <c r="G83" s="4" t="s">
        <v>562</v>
      </c>
      <c r="H83" s="4"/>
      <c r="I83" s="4"/>
      <c r="J83" s="4">
        <v>4.58</v>
      </c>
      <c r="K83" s="4">
        <v>3</v>
      </c>
      <c r="L83" s="4"/>
      <c r="M83" s="4" t="s">
        <v>18</v>
      </c>
      <c r="N83" s="4">
        <v>100</v>
      </c>
      <c r="O83" s="3">
        <f>=B83*(N83*F83/10000)*J83</f>
      </c>
    </row>
    <row r="84" spans="1:15" x14ac:dyDescent="0.25">
      <c r="A84" s="2" t="s">
        <v>563</v>
      </c>
      <c r="B84" s="4">
        <v>1</v>
      </c>
      <c r="C84" s="4" t="s">
        <v>27</v>
      </c>
      <c r="D84" s="4"/>
      <c r="E84" s="4"/>
      <c r="F84" s="4">
        <v>35.5</v>
      </c>
      <c r="G84" s="4" t="s">
        <v>564</v>
      </c>
      <c r="H84" s="4"/>
      <c r="I84" s="4"/>
      <c r="J84" s="4">
        <v>4.58</v>
      </c>
      <c r="K84" s="4">
        <v>3</v>
      </c>
      <c r="L84" s="4"/>
      <c r="M84" s="4" t="s">
        <v>18</v>
      </c>
      <c r="N84" s="4">
        <v>162</v>
      </c>
      <c r="O84" s="3">
        <f>=B84*(N84*F84/10000)*J84</f>
      </c>
    </row>
    <row r="85" spans="1:15" x14ac:dyDescent="0.25">
      <c r="A85" s="2" t="s">
        <v>565</v>
      </c>
      <c r="B85" s="4">
        <v>1</v>
      </c>
      <c r="C85" s="4" t="s">
        <v>27</v>
      </c>
      <c r="D85" s="4"/>
      <c r="E85" s="4"/>
      <c r="F85" s="4">
        <v>18</v>
      </c>
      <c r="G85" s="4" t="s">
        <v>566</v>
      </c>
      <c r="H85" s="4"/>
      <c r="I85" s="4"/>
      <c r="J85" s="4">
        <v>4.58</v>
      </c>
      <c r="K85" s="4">
        <v>3</v>
      </c>
      <c r="L85" s="4"/>
      <c r="M85" s="4" t="s">
        <v>18</v>
      </c>
      <c r="N85" s="4">
        <v>405</v>
      </c>
      <c r="O85" s="3">
        <f>=B85*(N85*F85/10000)*J85</f>
      </c>
    </row>
    <row r="86" spans="1:15" x14ac:dyDescent="0.25">
      <c r="A86" s="2" t="s">
        <v>567</v>
      </c>
      <c r="B86" s="4">
        <v>2</v>
      </c>
      <c r="C86" s="4" t="s">
        <v>27</v>
      </c>
      <c r="D86" s="4"/>
      <c r="E86" s="4"/>
      <c r="F86" s="4">
        <v>21</v>
      </c>
      <c r="G86" s="4" t="s">
        <v>568</v>
      </c>
      <c r="H86" s="4"/>
      <c r="I86" s="4"/>
      <c r="J86" s="4">
        <v>4.58</v>
      </c>
      <c r="K86" s="4">
        <v>3</v>
      </c>
      <c r="L86" s="4"/>
      <c r="M86" s="4" t="s">
        <v>18</v>
      </c>
      <c r="N86" s="4">
        <v>29</v>
      </c>
      <c r="O86" s="3">
        <f>=B86*(N86*F86/10000)*J86</f>
      </c>
    </row>
    <row r="87" spans="1:15" x14ac:dyDescent="0.25">
      <c r="A87" s="2" t="s">
        <v>569</v>
      </c>
      <c r="B87" s="4">
        <v>1</v>
      </c>
      <c r="C87" s="4"/>
      <c r="D87" s="4">
        <v>0</v>
      </c>
      <c r="E87" s="4" t="s">
        <v>102</v>
      </c>
      <c r="F87" s="4">
        <v>0</v>
      </c>
      <c r="G87" s="4" t="s">
        <v>570</v>
      </c>
      <c r="H87" s="4">
        <v>0</v>
      </c>
      <c r="I87" s="4">
        <v>0</v>
      </c>
      <c r="J87" s="4">
        <v>0</v>
      </c>
      <c r="K87" s="4">
        <v>1</v>
      </c>
      <c r="L87" s="4">
        <v>0</v>
      </c>
      <c r="M87" s="4" t="s">
        <v>18</v>
      </c>
      <c r="N87" s="4">
        <v>0</v>
      </c>
      <c r="O87" s="3">
        <f>=0</f>
      </c>
    </row>
    <row r="88" spans="1:15" x14ac:dyDescent="0.25">
      <c r="A88" s="2" t="s">
        <v>571</v>
      </c>
      <c r="B88" s="4">
        <v>1</v>
      </c>
      <c r="C88" s="4"/>
      <c r="D88" s="4">
        <v>0</v>
      </c>
      <c r="E88" s="4" t="s">
        <v>102</v>
      </c>
      <c r="F88" s="4">
        <v>0</v>
      </c>
      <c r="G88" s="4" t="s">
        <v>572</v>
      </c>
      <c r="H88" s="4">
        <v>0</v>
      </c>
      <c r="I88" s="4">
        <v>0</v>
      </c>
      <c r="J88" s="4">
        <v>0</v>
      </c>
      <c r="K88" s="4">
        <v>3</v>
      </c>
      <c r="L88" s="4">
        <v>0</v>
      </c>
      <c r="M88" s="4" t="s">
        <v>18</v>
      </c>
      <c r="N88" s="4">
        <v>0</v>
      </c>
      <c r="O88" s="3">
        <f>=0</f>
      </c>
    </row>
    <row r="89" spans="1:15" x14ac:dyDescent="0.25">
      <c r="A89" s="2" t="s">
        <v>573</v>
      </c>
      <c r="B89" s="4">
        <v>1</v>
      </c>
      <c r="C89" s="4"/>
      <c r="D89" s="4">
        <v>0</v>
      </c>
      <c r="E89" s="4" t="s">
        <v>102</v>
      </c>
      <c r="F89" s="4">
        <v>0</v>
      </c>
      <c r="G89" s="4" t="s">
        <v>574</v>
      </c>
      <c r="H89" s="4">
        <v>0</v>
      </c>
      <c r="I89" s="4">
        <v>0</v>
      </c>
      <c r="J89" s="4">
        <v>0</v>
      </c>
      <c r="K89" s="4">
        <v>3</v>
      </c>
      <c r="L89" s="4">
        <v>0</v>
      </c>
      <c r="M89" s="4" t="s">
        <v>18</v>
      </c>
      <c r="N89" s="4">
        <v>0</v>
      </c>
      <c r="O89" s="3">
        <f>=0</f>
      </c>
    </row>
    <row r="90" spans="1:15" x14ac:dyDescent="0.25">
      <c r="A90" s="2" t="s">
        <v>575</v>
      </c>
      <c r="B90" s="4">
        <v>1</v>
      </c>
      <c r="C90" s="4"/>
      <c r="D90" s="4">
        <v>0</v>
      </c>
      <c r="E90" s="4" t="s">
        <v>102</v>
      </c>
      <c r="F90" s="4">
        <v>0</v>
      </c>
      <c r="G90" s="4" t="s">
        <v>576</v>
      </c>
      <c r="H90" s="4">
        <v>0</v>
      </c>
      <c r="I90" s="4">
        <v>0</v>
      </c>
      <c r="J90" s="4">
        <v>0</v>
      </c>
      <c r="K90" s="4">
        <v>3</v>
      </c>
      <c r="L90" s="4">
        <v>0</v>
      </c>
      <c r="M90" s="4" t="s">
        <v>18</v>
      </c>
      <c r="N90" s="4">
        <v>0</v>
      </c>
      <c r="O90" s="3">
        <f>=0</f>
      </c>
    </row>
    <row r="91" spans="1:15" x14ac:dyDescent="0.25">
      <c r="A91" s="2" t="s">
        <v>577</v>
      </c>
      <c r="B91" s="4">
        <v>4</v>
      </c>
      <c r="C91" s="4"/>
      <c r="D91" s="4">
        <v>0</v>
      </c>
      <c r="E91" s="4" t="s">
        <v>102</v>
      </c>
      <c r="F91" s="4">
        <v>0</v>
      </c>
      <c r="G91" s="4" t="s">
        <v>578</v>
      </c>
      <c r="H91" s="4">
        <v>0</v>
      </c>
      <c r="I91" s="4">
        <v>0</v>
      </c>
      <c r="J91" s="4">
        <v>0</v>
      </c>
      <c r="K91" s="4">
        <v>3</v>
      </c>
      <c r="L91" s="4">
        <v>0</v>
      </c>
      <c r="M91" s="4" t="s">
        <v>18</v>
      </c>
      <c r="N91" s="4">
        <v>0</v>
      </c>
      <c r="O91" s="3">
        <f>=0</f>
      </c>
    </row>
    <row r="92" spans="1:15" x14ac:dyDescent="0.25">
      <c r="A92" s="2" t="s">
        <v>579</v>
      </c>
      <c r="B92" s="4">
        <v>1</v>
      </c>
      <c r="C92" s="4"/>
      <c r="D92" s="4">
        <v>0</v>
      </c>
      <c r="E92" s="4" t="s">
        <v>102</v>
      </c>
      <c r="F92" s="4">
        <v>0</v>
      </c>
      <c r="G92" s="4" t="s">
        <v>580</v>
      </c>
      <c r="H92" s="4">
        <v>0</v>
      </c>
      <c r="I92" s="4">
        <v>0</v>
      </c>
      <c r="J92" s="4">
        <v>0</v>
      </c>
      <c r="K92" s="4">
        <v>3</v>
      </c>
      <c r="L92" s="4">
        <v>0</v>
      </c>
      <c r="M92" s="4" t="s">
        <v>18</v>
      </c>
      <c r="N92" s="4">
        <v>0</v>
      </c>
      <c r="O92" s="3">
        <f>=0</f>
      </c>
    </row>
    <row r="93" spans="1:15" x14ac:dyDescent="0.25">
      <c r="A93" s="2" t="s">
        <v>581</v>
      </c>
      <c r="B93" s="4">
        <v>1</v>
      </c>
      <c r="C93" s="4"/>
      <c r="D93" s="4">
        <v>0</v>
      </c>
      <c r="E93" s="4" t="s">
        <v>102</v>
      </c>
      <c r="F93" s="4">
        <v>0</v>
      </c>
      <c r="G93" s="4" t="s">
        <v>582</v>
      </c>
      <c r="H93" s="4">
        <v>0</v>
      </c>
      <c r="I93" s="4">
        <v>0</v>
      </c>
      <c r="J93" s="4">
        <v>0</v>
      </c>
      <c r="K93" s="4">
        <v>3</v>
      </c>
      <c r="L93" s="4">
        <v>0</v>
      </c>
      <c r="M93" s="4" t="s">
        <v>18</v>
      </c>
      <c r="N93" s="4">
        <v>0</v>
      </c>
      <c r="O93" s="3">
        <f>=0</f>
      </c>
    </row>
    <row r="94" spans="1:15" x14ac:dyDescent="0.25">
      <c r="A94" s="2" t="s">
        <v>583</v>
      </c>
      <c r="B94" s="4">
        <v>2</v>
      </c>
      <c r="C94" s="4"/>
      <c r="D94" s="4">
        <v>0</v>
      </c>
      <c r="E94" s="4" t="s">
        <v>102</v>
      </c>
      <c r="F94" s="4">
        <v>0</v>
      </c>
      <c r="G94" s="4" t="s">
        <v>584</v>
      </c>
      <c r="H94" s="4">
        <v>0</v>
      </c>
      <c r="I94" s="4">
        <v>0</v>
      </c>
      <c r="J94" s="4">
        <v>0</v>
      </c>
      <c r="K94" s="4">
        <v>3</v>
      </c>
      <c r="L94" s="4">
        <v>0</v>
      </c>
      <c r="M94" s="4" t="s">
        <v>18</v>
      </c>
      <c r="N94" s="4">
        <v>0</v>
      </c>
      <c r="O94" s="3">
        <f>=0</f>
      </c>
    </row>
    <row r="95" spans="1:15" x14ac:dyDescent="0.25">
      <c r="A95" s="2" t="s">
        <v>585</v>
      </c>
      <c r="B95" s="4">
        <v>1</v>
      </c>
      <c r="C95" s="4"/>
      <c r="D95" s="4">
        <v>0</v>
      </c>
      <c r="E95" s="4" t="s">
        <v>102</v>
      </c>
      <c r="F95" s="4">
        <v>0</v>
      </c>
      <c r="G95" s="4" t="s">
        <v>586</v>
      </c>
      <c r="H95" s="4">
        <v>0</v>
      </c>
      <c r="I95" s="4">
        <v>0</v>
      </c>
      <c r="J95" s="4">
        <v>0</v>
      </c>
      <c r="K95" s="4">
        <v>3</v>
      </c>
      <c r="L95" s="4">
        <v>0</v>
      </c>
      <c r="M95" s="4" t="s">
        <v>18</v>
      </c>
      <c r="N95" s="4">
        <v>0</v>
      </c>
      <c r="O95" s="3">
        <f>=0</f>
      </c>
    </row>
    <row r="96" spans="1:15" x14ac:dyDescent="0.25">
      <c r="A96" s="2" t="s">
        <v>587</v>
      </c>
      <c r="B96" s="4">
        <v>1</v>
      </c>
      <c r="C96" s="4"/>
      <c r="D96" s="4">
        <v>0</v>
      </c>
      <c r="E96" s="4" t="s">
        <v>102</v>
      </c>
      <c r="F96" s="4">
        <v>0</v>
      </c>
      <c r="G96" s="4" t="s">
        <v>588</v>
      </c>
      <c r="H96" s="4">
        <v>0</v>
      </c>
      <c r="I96" s="4">
        <v>0</v>
      </c>
      <c r="J96" s="4">
        <v>0</v>
      </c>
      <c r="K96" s="4">
        <v>6</v>
      </c>
      <c r="L96" s="4">
        <v>0</v>
      </c>
      <c r="M96" s="4" t="s">
        <v>18</v>
      </c>
      <c r="N96" s="4">
        <v>0</v>
      </c>
      <c r="O96" s="3">
        <f>=0</f>
      </c>
    </row>
    <row r="97" spans="1:15" x14ac:dyDescent="0.25">
      <c r="A97" s="2" t="s">
        <v>589</v>
      </c>
      <c r="B97" s="4">
        <v>1</v>
      </c>
      <c r="C97" s="4"/>
      <c r="D97" s="4">
        <v>0</v>
      </c>
      <c r="E97" s="4" t="s">
        <v>102</v>
      </c>
      <c r="F97" s="4">
        <v>0</v>
      </c>
      <c r="G97" s="4" t="s">
        <v>590</v>
      </c>
      <c r="H97" s="4">
        <v>0</v>
      </c>
      <c r="I97" s="4">
        <v>0</v>
      </c>
      <c r="J97" s="4">
        <v>0</v>
      </c>
      <c r="K97" s="4">
        <v>6</v>
      </c>
      <c r="L97" s="4">
        <v>0</v>
      </c>
      <c r="M97" s="4" t="s">
        <v>18</v>
      </c>
      <c r="N97" s="4">
        <v>0</v>
      </c>
      <c r="O97" s="3">
        <f>=0</f>
      </c>
    </row>
    <row r="98" spans="1:15" x14ac:dyDescent="0.25">
      <c r="A98" s="2" t="s">
        <v>591</v>
      </c>
      <c r="B98" s="4">
        <v>1</v>
      </c>
      <c r="C98" s="4"/>
      <c r="D98" s="4">
        <v>0</v>
      </c>
      <c r="E98" s="4" t="s">
        <v>102</v>
      </c>
      <c r="F98" s="4">
        <v>0</v>
      </c>
      <c r="G98" s="4" t="s">
        <v>592</v>
      </c>
      <c r="H98" s="4">
        <v>0</v>
      </c>
      <c r="I98" s="4">
        <v>0</v>
      </c>
      <c r="J98" s="4">
        <v>0</v>
      </c>
      <c r="K98" s="4">
        <v>3</v>
      </c>
      <c r="L98" s="4">
        <v>0</v>
      </c>
      <c r="M98" s="4" t="s">
        <v>18</v>
      </c>
      <c r="N98" s="4">
        <v>0</v>
      </c>
      <c r="O98" s="3">
        <f>=0</f>
      </c>
    </row>
    <row r="99" spans="1:15" x14ac:dyDescent="0.25">
      <c r="A99" s="2" t="s">
        <v>593</v>
      </c>
      <c r="B99" s="4">
        <v>1</v>
      </c>
      <c r="C99" s="4"/>
      <c r="D99" s="4">
        <v>0</v>
      </c>
      <c r="E99" s="4" t="s">
        <v>102</v>
      </c>
      <c r="F99" s="4">
        <v>0</v>
      </c>
      <c r="G99" s="4" t="s">
        <v>594</v>
      </c>
      <c r="H99" s="4">
        <v>0</v>
      </c>
      <c r="I99" s="4">
        <v>0</v>
      </c>
      <c r="J99" s="4">
        <v>0</v>
      </c>
      <c r="K99" s="4">
        <v>3</v>
      </c>
      <c r="L99" s="4">
        <v>0</v>
      </c>
      <c r="M99" s="4" t="s">
        <v>18</v>
      </c>
      <c r="N99" s="4">
        <v>0</v>
      </c>
      <c r="O99" s="3">
        <f>=0</f>
      </c>
    </row>
    <row r="100" spans="1:15" x14ac:dyDescent="0.25">
      <c r="A100" s="2" t="s">
        <v>595</v>
      </c>
      <c r="B100" s="4">
        <v>1</v>
      </c>
      <c r="C100" s="4"/>
      <c r="D100" s="4">
        <v>0</v>
      </c>
      <c r="E100" s="4" t="s">
        <v>102</v>
      </c>
      <c r="F100" s="4">
        <v>0</v>
      </c>
      <c r="G100" s="4" t="s">
        <v>596</v>
      </c>
      <c r="H100" s="4">
        <v>0</v>
      </c>
      <c r="I100" s="4">
        <v>0</v>
      </c>
      <c r="J100" s="4">
        <v>0</v>
      </c>
      <c r="K100" s="4">
        <v>3</v>
      </c>
      <c r="L100" s="4">
        <v>0</v>
      </c>
      <c r="M100" s="4" t="s">
        <v>18</v>
      </c>
      <c r="N100" s="4">
        <v>0</v>
      </c>
      <c r="O100" s="3">
        <f>=0</f>
      </c>
    </row>
    <row r="101" spans="1:15" x14ac:dyDescent="0.25">
      <c r="A101" s="2" t="s">
        <v>597</v>
      </c>
      <c r="B101" s="4">
        <v>1</v>
      </c>
      <c r="C101" s="4"/>
      <c r="D101" s="4">
        <v>0</v>
      </c>
      <c r="E101" s="4" t="s">
        <v>102</v>
      </c>
      <c r="F101" s="4">
        <v>0</v>
      </c>
      <c r="G101" s="4" t="s">
        <v>598</v>
      </c>
      <c r="H101" s="4">
        <v>0</v>
      </c>
      <c r="I101" s="4">
        <v>0</v>
      </c>
      <c r="J101" s="4">
        <v>0</v>
      </c>
      <c r="K101" s="4">
        <v>3</v>
      </c>
      <c r="L101" s="4">
        <v>0</v>
      </c>
      <c r="M101" s="4" t="s">
        <v>18</v>
      </c>
      <c r="N101" s="4">
        <v>0</v>
      </c>
      <c r="O101" s="3">
        <f>=0</f>
      </c>
    </row>
    <row r="102" spans="1:15" x14ac:dyDescent="0.25">
      <c r="A102" s="2" t="s">
        <v>599</v>
      </c>
      <c r="B102" s="4">
        <v>1</v>
      </c>
      <c r="C102" s="4"/>
      <c r="D102" s="4">
        <v>0</v>
      </c>
      <c r="E102" s="4" t="s">
        <v>102</v>
      </c>
      <c r="F102" s="4">
        <v>0</v>
      </c>
      <c r="G102" s="4" t="s">
        <v>600</v>
      </c>
      <c r="H102" s="4">
        <v>0</v>
      </c>
      <c r="I102" s="4">
        <v>0</v>
      </c>
      <c r="J102" s="4">
        <v>0</v>
      </c>
      <c r="K102" s="4">
        <v>3</v>
      </c>
      <c r="L102" s="4">
        <v>0</v>
      </c>
      <c r="M102" s="4" t="s">
        <v>18</v>
      </c>
      <c r="N102" s="4">
        <v>0</v>
      </c>
      <c r="O102" s="3">
        <f>=0</f>
      </c>
    </row>
    <row r="103" spans="1:15" x14ac:dyDescent="0.25">
      <c r="A103" s="2" t="s">
        <v>601</v>
      </c>
      <c r="B103" s="4">
        <v>1</v>
      </c>
      <c r="C103" s="4"/>
      <c r="D103" s="4">
        <v>0</v>
      </c>
      <c r="E103" s="4" t="s">
        <v>102</v>
      </c>
      <c r="F103" s="4">
        <v>0</v>
      </c>
      <c r="G103" s="4" t="s">
        <v>602</v>
      </c>
      <c r="H103" s="4">
        <v>0</v>
      </c>
      <c r="I103" s="4">
        <v>0</v>
      </c>
      <c r="J103" s="4">
        <v>0</v>
      </c>
      <c r="K103" s="4">
        <v>3</v>
      </c>
      <c r="L103" s="4">
        <v>0</v>
      </c>
      <c r="M103" s="4" t="s">
        <v>18</v>
      </c>
      <c r="N103" s="4">
        <v>0</v>
      </c>
      <c r="O103" s="3">
        <f>=0</f>
      </c>
    </row>
    <row r="104" spans="1:15" x14ac:dyDescent="0.25">
      <c r="A104" s="2" t="s">
        <v>603</v>
      </c>
      <c r="B104" s="4">
        <v>1</v>
      </c>
      <c r="C104" s="4"/>
      <c r="D104" s="4">
        <v>0</v>
      </c>
      <c r="E104" s="4" t="s">
        <v>102</v>
      </c>
      <c r="F104" s="4">
        <v>0</v>
      </c>
      <c r="G104" s="4" t="s">
        <v>604</v>
      </c>
      <c r="H104" s="4">
        <v>0</v>
      </c>
      <c r="I104" s="4">
        <v>0</v>
      </c>
      <c r="J104" s="4">
        <v>0</v>
      </c>
      <c r="K104" s="4">
        <v>3</v>
      </c>
      <c r="L104" s="4">
        <v>0</v>
      </c>
      <c r="M104" s="4" t="s">
        <v>18</v>
      </c>
      <c r="N104" s="4">
        <v>0</v>
      </c>
      <c r="O104" s="3">
        <f>=0</f>
      </c>
    </row>
    <row r="105" spans="1:15" x14ac:dyDescent="0.25">
      <c r="A105" s="2" t="s">
        <v>605</v>
      </c>
      <c r="B105" s="4">
        <v>1</v>
      </c>
      <c r="C105" s="4"/>
      <c r="D105" s="4">
        <v>0</v>
      </c>
      <c r="E105" s="4" t="s">
        <v>102</v>
      </c>
      <c r="F105" s="4">
        <v>0</v>
      </c>
      <c r="G105" s="4" t="s">
        <v>606</v>
      </c>
      <c r="H105" s="4">
        <v>0</v>
      </c>
      <c r="I105" s="4">
        <v>0</v>
      </c>
      <c r="J105" s="4">
        <v>0</v>
      </c>
      <c r="K105" s="4">
        <v>3</v>
      </c>
      <c r="L105" s="4">
        <v>0</v>
      </c>
      <c r="M105" s="4" t="s">
        <v>18</v>
      </c>
      <c r="N105" s="4">
        <v>0</v>
      </c>
      <c r="O105" s="3">
        <f>=0</f>
      </c>
    </row>
    <row r="106" spans="1:15" x14ac:dyDescent="0.25">
      <c r="A106" s="2" t="s">
        <v>607</v>
      </c>
      <c r="B106" s="4">
        <v>6</v>
      </c>
      <c r="C106" s="4"/>
      <c r="D106" s="4">
        <v>0</v>
      </c>
      <c r="E106" s="4" t="s">
        <v>102</v>
      </c>
      <c r="F106" s="4">
        <v>0</v>
      </c>
      <c r="G106" s="4" t="s">
        <v>608</v>
      </c>
      <c r="H106" s="4">
        <v>0</v>
      </c>
      <c r="I106" s="4">
        <v>0</v>
      </c>
      <c r="J106" s="4">
        <v>0</v>
      </c>
      <c r="K106" s="4">
        <v>3</v>
      </c>
      <c r="L106" s="4">
        <v>0</v>
      </c>
      <c r="M106" s="4" t="s">
        <v>18</v>
      </c>
      <c r="N106" s="4">
        <v>0</v>
      </c>
      <c r="O106" s="3">
        <f>=0</f>
      </c>
    </row>
    <row r="107" spans="1:15" x14ac:dyDescent="0.25">
      <c r="A107" s="2" t="s">
        <v>609</v>
      </c>
      <c r="B107" s="4">
        <v>1</v>
      </c>
      <c r="C107" s="4"/>
      <c r="D107" s="4">
        <v>0</v>
      </c>
      <c r="E107" s="4" t="s">
        <v>102</v>
      </c>
      <c r="F107" s="4">
        <v>0</v>
      </c>
      <c r="G107" s="4" t="s">
        <v>610</v>
      </c>
      <c r="H107" s="4">
        <v>0</v>
      </c>
      <c r="I107" s="4">
        <v>0</v>
      </c>
      <c r="J107" s="4">
        <v>0</v>
      </c>
      <c r="K107" s="4">
        <v>3</v>
      </c>
      <c r="L107" s="4">
        <v>0</v>
      </c>
      <c r="M107" s="4" t="s">
        <v>18</v>
      </c>
      <c r="N107" s="4">
        <v>0</v>
      </c>
      <c r="O107" s="3">
        <f>=0</f>
      </c>
    </row>
    <row r="108" spans="1:15" x14ac:dyDescent="0.25">
      <c r="A108" s="2" t="s">
        <v>611</v>
      </c>
      <c r="B108" s="4">
        <v>1</v>
      </c>
      <c r="C108" s="4"/>
      <c r="D108" s="4">
        <v>0</v>
      </c>
      <c r="E108" s="4" t="s">
        <v>102</v>
      </c>
      <c r="F108" s="4">
        <v>0</v>
      </c>
      <c r="G108" s="4" t="s">
        <v>612</v>
      </c>
      <c r="H108" s="4">
        <v>0</v>
      </c>
      <c r="I108" s="4">
        <v>0</v>
      </c>
      <c r="J108" s="4">
        <v>0</v>
      </c>
      <c r="K108" s="4">
        <v>3</v>
      </c>
      <c r="L108" s="4">
        <v>0</v>
      </c>
      <c r="M108" s="4" t="s">
        <v>18</v>
      </c>
      <c r="N108" s="4">
        <v>0</v>
      </c>
      <c r="O108" s="3">
        <f>=0</f>
      </c>
    </row>
    <row r="109" spans="1:15" x14ac:dyDescent="0.25">
      <c r="A109" s="2" t="s">
        <v>613</v>
      </c>
      <c r="B109" s="4">
        <v>1</v>
      </c>
      <c r="C109" s="4"/>
      <c r="D109" s="4">
        <v>0</v>
      </c>
      <c r="E109" s="4" t="s">
        <v>102</v>
      </c>
      <c r="F109" s="4">
        <v>0</v>
      </c>
      <c r="G109" s="4" t="s">
        <v>614</v>
      </c>
      <c r="H109" s="4">
        <v>0</v>
      </c>
      <c r="I109" s="4">
        <v>0</v>
      </c>
      <c r="J109" s="4">
        <v>0</v>
      </c>
      <c r="K109" s="4">
        <v>3</v>
      </c>
      <c r="L109" s="4">
        <v>0</v>
      </c>
      <c r="M109" s="4" t="s">
        <v>18</v>
      </c>
      <c r="N109" s="4">
        <v>0</v>
      </c>
      <c r="O109" s="3">
        <f>=0</f>
      </c>
    </row>
    <row r="110" spans="1:15" x14ac:dyDescent="0.25">
      <c r="A110" s="2" t="s">
        <v>615</v>
      </c>
      <c r="B110" s="4">
        <v>1</v>
      </c>
      <c r="C110" s="4"/>
      <c r="D110" s="4">
        <v>0</v>
      </c>
      <c r="E110" s="4" t="s">
        <v>102</v>
      </c>
      <c r="F110" s="4">
        <v>0</v>
      </c>
      <c r="G110" s="4" t="s">
        <v>616</v>
      </c>
      <c r="H110" s="4">
        <v>0</v>
      </c>
      <c r="I110" s="4">
        <v>0</v>
      </c>
      <c r="J110" s="4">
        <v>0</v>
      </c>
      <c r="K110" s="4">
        <v>3</v>
      </c>
      <c r="L110" s="4">
        <v>0</v>
      </c>
      <c r="M110" s="4" t="s">
        <v>18</v>
      </c>
      <c r="N110" s="4">
        <v>0</v>
      </c>
      <c r="O110" s="3">
        <f>=0</f>
      </c>
    </row>
    <row r="111" spans="1:15" x14ac:dyDescent="0.25">
      <c r="A111" s="2" t="s">
        <v>617</v>
      </c>
      <c r="B111" s="4">
        <v>1</v>
      </c>
      <c r="C111" s="4"/>
      <c r="D111" s="4">
        <v>0</v>
      </c>
      <c r="E111" s="4" t="s">
        <v>102</v>
      </c>
      <c r="F111" s="4">
        <v>0</v>
      </c>
      <c r="G111" s="4" t="s">
        <v>618</v>
      </c>
      <c r="H111" s="4">
        <v>0</v>
      </c>
      <c r="I111" s="4">
        <v>0</v>
      </c>
      <c r="J111" s="4">
        <v>0</v>
      </c>
      <c r="K111" s="4">
        <v>3</v>
      </c>
      <c r="L111" s="4">
        <v>0</v>
      </c>
      <c r="M111" s="4" t="s">
        <v>18</v>
      </c>
      <c r="N111" s="4">
        <v>0</v>
      </c>
      <c r="O111" s="3">
        <f>=0</f>
      </c>
    </row>
    <row r="112" spans="1:15" x14ac:dyDescent="0.25">
      <c r="A112" s="2" t="s">
        <v>619</v>
      </c>
      <c r="B112" s="4">
        <v>1</v>
      </c>
      <c r="C112" s="4"/>
      <c r="D112" s="4">
        <v>0</v>
      </c>
      <c r="E112" s="4" t="s">
        <v>102</v>
      </c>
      <c r="F112" s="4">
        <v>0</v>
      </c>
      <c r="G112" s="4" t="s">
        <v>620</v>
      </c>
      <c r="H112" s="4">
        <v>0</v>
      </c>
      <c r="I112" s="4">
        <v>0</v>
      </c>
      <c r="J112" s="4">
        <v>0</v>
      </c>
      <c r="K112" s="4">
        <v>3</v>
      </c>
      <c r="L112" s="4">
        <v>0</v>
      </c>
      <c r="M112" s="4" t="s">
        <v>18</v>
      </c>
      <c r="N112" s="4">
        <v>0</v>
      </c>
      <c r="O112" s="3">
        <f>=0</f>
      </c>
    </row>
    <row r="113" spans="1:15" x14ac:dyDescent="0.25">
      <c r="A113" s="2" t="s">
        <v>621</v>
      </c>
      <c r="B113" s="4">
        <v>1</v>
      </c>
      <c r="C113" s="4"/>
      <c r="D113" s="4">
        <v>0</v>
      </c>
      <c r="E113" s="4" t="s">
        <v>102</v>
      </c>
      <c r="F113" s="4">
        <v>0</v>
      </c>
      <c r="G113" s="4" t="s">
        <v>622</v>
      </c>
      <c r="H113" s="4">
        <v>0</v>
      </c>
      <c r="I113" s="4">
        <v>0</v>
      </c>
      <c r="J113" s="4">
        <v>0</v>
      </c>
      <c r="K113" s="4">
        <v>3</v>
      </c>
      <c r="L113" s="4">
        <v>0</v>
      </c>
      <c r="M113" s="4" t="s">
        <v>18</v>
      </c>
      <c r="N113" s="4">
        <v>0</v>
      </c>
      <c r="O113" s="3">
        <f>=0</f>
      </c>
    </row>
    <row r="114" spans="1:15" x14ac:dyDescent="0.25">
      <c r="A114" s="2" t="s">
        <v>623</v>
      </c>
      <c r="B114" s="4">
        <v>1</v>
      </c>
      <c r="C114" s="4"/>
      <c r="D114" s="4">
        <v>0</v>
      </c>
      <c r="E114" s="4" t="s">
        <v>102</v>
      </c>
      <c r="F114" s="4">
        <v>0</v>
      </c>
      <c r="G114" s="4" t="s">
        <v>624</v>
      </c>
      <c r="H114" s="4">
        <v>0</v>
      </c>
      <c r="I114" s="4">
        <v>0</v>
      </c>
      <c r="J114" s="4">
        <v>0</v>
      </c>
      <c r="K114" s="4">
        <v>3</v>
      </c>
      <c r="L114" s="4">
        <v>0</v>
      </c>
      <c r="M114" s="4" t="s">
        <v>18</v>
      </c>
      <c r="N114" s="4">
        <v>0</v>
      </c>
      <c r="O114" s="3">
        <f>=0</f>
      </c>
    </row>
    <row r="115" spans="1:15" x14ac:dyDescent="0.25">
      <c r="A115" s="2" t="s">
        <v>625</v>
      </c>
      <c r="B115" s="4">
        <v>1</v>
      </c>
      <c r="C115" s="4"/>
      <c r="D115" s="4">
        <v>0</v>
      </c>
      <c r="E115" s="4" t="s">
        <v>102</v>
      </c>
      <c r="F115" s="4">
        <v>0</v>
      </c>
      <c r="G115" s="4" t="s">
        <v>626</v>
      </c>
      <c r="H115" s="4">
        <v>0</v>
      </c>
      <c r="I115" s="4">
        <v>0</v>
      </c>
      <c r="J115" s="4">
        <v>0</v>
      </c>
      <c r="K115" s="4">
        <v>3</v>
      </c>
      <c r="L115" s="4">
        <v>0</v>
      </c>
      <c r="M115" s="4" t="s">
        <v>18</v>
      </c>
      <c r="N115" s="4">
        <v>0</v>
      </c>
      <c r="O115" s="3">
        <f>=0</f>
      </c>
    </row>
    <row r="116" spans="1:15" x14ac:dyDescent="0.25">
      <c r="A116" s="2" t="s">
        <v>627</v>
      </c>
      <c r="B116" s="4">
        <v>2</v>
      </c>
      <c r="C116" s="4"/>
      <c r="D116" s="4">
        <v>0</v>
      </c>
      <c r="E116" s="4" t="s">
        <v>102</v>
      </c>
      <c r="F116" s="4">
        <v>0</v>
      </c>
      <c r="G116" s="4" t="s">
        <v>628</v>
      </c>
      <c r="H116" s="4">
        <v>0</v>
      </c>
      <c r="I116" s="4">
        <v>0</v>
      </c>
      <c r="J116" s="4">
        <v>0</v>
      </c>
      <c r="K116" s="4">
        <v>3</v>
      </c>
      <c r="L116" s="4">
        <v>0</v>
      </c>
      <c r="M116" s="4" t="s">
        <v>102</v>
      </c>
      <c r="N116" s="4">
        <v>0</v>
      </c>
      <c r="O116" s="3">
        <f>=0</f>
      </c>
    </row>
    <row r="117" spans="1:15" x14ac:dyDescent="0.25">
      <c r="A117" s="2" t="s">
        <v>629</v>
      </c>
      <c r="B117" s="4">
        <v>6</v>
      </c>
      <c r="C117" s="4"/>
      <c r="D117" s="4">
        <v>0</v>
      </c>
      <c r="E117" s="4" t="s">
        <v>102</v>
      </c>
      <c r="F117" s="4">
        <v>0</v>
      </c>
      <c r="G117" s="4" t="s">
        <v>630</v>
      </c>
      <c r="H117" s="4">
        <v>0</v>
      </c>
      <c r="I117" s="4">
        <v>0</v>
      </c>
      <c r="J117" s="4">
        <v>0</v>
      </c>
      <c r="K117" s="4">
        <v>3</v>
      </c>
      <c r="L117" s="4">
        <v>0</v>
      </c>
      <c r="M117" s="4" t="s">
        <v>102</v>
      </c>
      <c r="N117" s="4">
        <v>0</v>
      </c>
      <c r="O117" s="3">
        <f>=0</f>
      </c>
    </row>
    <row r="118" spans="1:15" x14ac:dyDescent="0.25">
      <c r="A118" s="2" t="s">
        <v>631</v>
      </c>
      <c r="B118" s="4">
        <v>1</v>
      </c>
      <c r="C118" s="4"/>
      <c r="D118" s="4">
        <v>0</v>
      </c>
      <c r="E118" s="4" t="s">
        <v>102</v>
      </c>
      <c r="F118" s="4">
        <v>0</v>
      </c>
      <c r="G118" s="4" t="s">
        <v>632</v>
      </c>
      <c r="H118" s="4">
        <v>0</v>
      </c>
      <c r="I118" s="4">
        <v>0</v>
      </c>
      <c r="J118" s="4">
        <v>0</v>
      </c>
      <c r="K118" s="4">
        <v>3</v>
      </c>
      <c r="L118" s="4">
        <v>0</v>
      </c>
      <c r="M118" s="4" t="s">
        <v>102</v>
      </c>
      <c r="N118" s="4">
        <v>0</v>
      </c>
      <c r="O118" s="3">
        <f>=0</f>
      </c>
    </row>
    <row r="119" spans="1:15" x14ac:dyDescent="0.25">
      <c r="A119" s="2" t="s">
        <v>633</v>
      </c>
      <c r="B119" s="4">
        <v>4</v>
      </c>
      <c r="C119" s="4"/>
      <c r="D119" s="4">
        <v>0</v>
      </c>
      <c r="E119" s="4" t="s">
        <v>102</v>
      </c>
      <c r="F119" s="4">
        <v>0</v>
      </c>
      <c r="G119" s="4" t="s">
        <v>634</v>
      </c>
      <c r="H119" s="4">
        <v>0</v>
      </c>
      <c r="I119" s="4">
        <v>0</v>
      </c>
      <c r="J119" s="4">
        <v>0</v>
      </c>
      <c r="K119" s="4">
        <v>3</v>
      </c>
      <c r="L119" s="4">
        <v>0</v>
      </c>
      <c r="M119" s="4" t="s">
        <v>102</v>
      </c>
      <c r="N119" s="4">
        <v>0</v>
      </c>
      <c r="O119" s="3">
        <f>=0</f>
      </c>
    </row>
    <row r="120" spans="1:15" x14ac:dyDescent="0.25">
      <c r="A120" s="2" t="s">
        <v>635</v>
      </c>
      <c r="B120" s="4">
        <v>1</v>
      </c>
      <c r="C120" s="4"/>
      <c r="D120" s="4">
        <v>0</v>
      </c>
      <c r="E120" s="4" t="s">
        <v>102</v>
      </c>
      <c r="F120" s="4">
        <v>0</v>
      </c>
      <c r="G120" s="4" t="s">
        <v>636</v>
      </c>
      <c r="H120" s="4">
        <v>0</v>
      </c>
      <c r="I120" s="4">
        <v>0</v>
      </c>
      <c r="J120" s="4">
        <v>0</v>
      </c>
      <c r="K120" s="4">
        <v>3</v>
      </c>
      <c r="L120" s="4">
        <v>0</v>
      </c>
      <c r="M120" s="4" t="s">
        <v>18</v>
      </c>
      <c r="N120" s="4">
        <v>0</v>
      </c>
      <c r="O120" s="3">
        <f>=0</f>
      </c>
    </row>
    <row r="121" spans="1:15" x14ac:dyDescent="0.25">
      <c r="A121" s="2" t="s">
        <v>637</v>
      </c>
      <c r="B121" s="4">
        <v>3</v>
      </c>
      <c r="C121" s="4"/>
      <c r="D121" s="4">
        <v>0</v>
      </c>
      <c r="E121" s="4" t="s">
        <v>102</v>
      </c>
      <c r="F121" s="4">
        <v>0</v>
      </c>
      <c r="G121" s="4" t="s">
        <v>638</v>
      </c>
      <c r="H121" s="4">
        <v>0</v>
      </c>
      <c r="I121" s="4">
        <v>0</v>
      </c>
      <c r="J121" s="4">
        <v>0</v>
      </c>
      <c r="K121" s="4">
        <v>3</v>
      </c>
      <c r="L121" s="4">
        <v>0</v>
      </c>
      <c r="M121" s="4" t="s">
        <v>102</v>
      </c>
      <c r="N121" s="4">
        <v>0</v>
      </c>
      <c r="O121" s="3">
        <f>=0</f>
      </c>
    </row>
    <row r="122" spans="1:15" x14ac:dyDescent="0.25">
      <c r="A122" s="2" t="s">
        <v>639</v>
      </c>
      <c r="B122" s="4">
        <v>1</v>
      </c>
      <c r="C122" s="4"/>
      <c r="D122" s="4">
        <v>0</v>
      </c>
      <c r="E122" s="4" t="s">
        <v>102</v>
      </c>
      <c r="F122" s="4">
        <v>0</v>
      </c>
      <c r="G122" s="4" t="s">
        <v>640</v>
      </c>
      <c r="H122" s="4">
        <v>0</v>
      </c>
      <c r="I122" s="4">
        <v>0</v>
      </c>
      <c r="J122" s="4">
        <v>0</v>
      </c>
      <c r="K122" s="4">
        <v>3</v>
      </c>
      <c r="L122" s="4">
        <v>0</v>
      </c>
      <c r="M122" s="4" t="s">
        <v>102</v>
      </c>
      <c r="N122" s="4">
        <v>0</v>
      </c>
      <c r="O122" s="3">
        <f>=0</f>
      </c>
    </row>
    <row r="123" spans="1:15" x14ac:dyDescent="0.25">
      <c r="A123" s="2" t="s">
        <v>641</v>
      </c>
      <c r="B123" s="4">
        <v>1</v>
      </c>
      <c r="C123" s="4"/>
      <c r="D123" s="4">
        <v>0</v>
      </c>
      <c r="E123" s="4" t="s">
        <v>102</v>
      </c>
      <c r="F123" s="4">
        <v>0</v>
      </c>
      <c r="G123" s="4" t="s">
        <v>642</v>
      </c>
      <c r="H123" s="4">
        <v>0</v>
      </c>
      <c r="I123" s="4">
        <v>0</v>
      </c>
      <c r="J123" s="4">
        <v>0</v>
      </c>
      <c r="K123" s="4">
        <v>3</v>
      </c>
      <c r="L123" s="4">
        <v>0</v>
      </c>
      <c r="M123" s="4" t="s">
        <v>18</v>
      </c>
      <c r="N123" s="4">
        <v>0</v>
      </c>
      <c r="O123" s="3">
        <f>=0</f>
      </c>
    </row>
    <row r="124" spans="1:15" x14ac:dyDescent="0.25">
      <c r="A124" s="2" t="s">
        <v>643</v>
      </c>
      <c r="B124" s="4">
        <v>1</v>
      </c>
      <c r="C124" s="4"/>
      <c r="D124" s="4">
        <v>0</v>
      </c>
      <c r="E124" s="4" t="s">
        <v>102</v>
      </c>
      <c r="F124" s="4">
        <v>0</v>
      </c>
      <c r="G124" s="4" t="s">
        <v>644</v>
      </c>
      <c r="H124" s="4">
        <v>0</v>
      </c>
      <c r="I124" s="4">
        <v>0</v>
      </c>
      <c r="J124" s="4">
        <v>0</v>
      </c>
      <c r="K124" s="4">
        <v>3</v>
      </c>
      <c r="L124" s="4">
        <v>0</v>
      </c>
      <c r="M124" s="4" t="s">
        <v>18</v>
      </c>
      <c r="N124" s="4">
        <v>0</v>
      </c>
      <c r="O124" s="3">
        <f>=0</f>
      </c>
    </row>
    <row r="125" spans="1:15" x14ac:dyDescent="0.25">
      <c r="A125" s="2" t="s">
        <v>645</v>
      </c>
      <c r="B125" s="4">
        <v>1</v>
      </c>
      <c r="C125" s="4"/>
      <c r="D125" s="4">
        <v>0</v>
      </c>
      <c r="E125" s="4" t="s">
        <v>102</v>
      </c>
      <c r="F125" s="4">
        <v>0</v>
      </c>
      <c r="G125" s="4" t="s">
        <v>646</v>
      </c>
      <c r="H125" s="4">
        <v>0</v>
      </c>
      <c r="I125" s="4">
        <v>0</v>
      </c>
      <c r="J125" s="4">
        <v>0</v>
      </c>
      <c r="K125" s="4">
        <v>3</v>
      </c>
      <c r="L125" s="4">
        <v>0</v>
      </c>
      <c r="M125" s="4" t="s">
        <v>18</v>
      </c>
      <c r="N125" s="4">
        <v>0</v>
      </c>
      <c r="O125" s="3">
        <f>=0</f>
      </c>
    </row>
    <row r="126" spans="1:15" x14ac:dyDescent="0.25">
      <c r="A126" s="2" t="s">
        <v>647</v>
      </c>
      <c r="B126" s="4">
        <v>1</v>
      </c>
      <c r="C126" s="4"/>
      <c r="D126" s="4">
        <v>0</v>
      </c>
      <c r="E126" s="4" t="s">
        <v>102</v>
      </c>
      <c r="F126" s="4">
        <v>0</v>
      </c>
      <c r="G126" s="4" t="s">
        <v>648</v>
      </c>
      <c r="H126" s="4">
        <v>0</v>
      </c>
      <c r="I126" s="4">
        <v>0</v>
      </c>
      <c r="J126" s="4">
        <v>0</v>
      </c>
      <c r="K126" s="4">
        <v>3</v>
      </c>
      <c r="L126" s="4">
        <v>0</v>
      </c>
      <c r="M126" s="4" t="s">
        <v>18</v>
      </c>
      <c r="N126" s="4">
        <v>0</v>
      </c>
      <c r="O126" s="3">
        <f>=0</f>
      </c>
    </row>
    <row r="127" spans="1:15" x14ac:dyDescent="0.25">
      <c r="A127" s="2" t="s">
        <v>649</v>
      </c>
      <c r="B127" s="4">
        <v>1</v>
      </c>
      <c r="C127" s="4"/>
      <c r="D127" s="4">
        <v>0</v>
      </c>
      <c r="E127" s="4" t="s">
        <v>102</v>
      </c>
      <c r="F127" s="4">
        <v>0</v>
      </c>
      <c r="G127" s="4" t="s">
        <v>650</v>
      </c>
      <c r="H127" s="4">
        <v>0</v>
      </c>
      <c r="I127" s="4">
        <v>0</v>
      </c>
      <c r="J127" s="4">
        <v>0</v>
      </c>
      <c r="K127" s="4">
        <v>3</v>
      </c>
      <c r="L127" s="4">
        <v>0</v>
      </c>
      <c r="M127" s="4" t="s">
        <v>18</v>
      </c>
      <c r="N127" s="4">
        <v>0</v>
      </c>
      <c r="O127" s="3">
        <f>=0</f>
      </c>
    </row>
    <row r="128" spans="1:15" x14ac:dyDescent="0.25">
      <c r="A128" s="2" t="s">
        <v>651</v>
      </c>
      <c r="B128" s="4">
        <v>1</v>
      </c>
      <c r="C128" s="4"/>
      <c r="D128" s="4">
        <v>0</v>
      </c>
      <c r="E128" s="4" t="s">
        <v>102</v>
      </c>
      <c r="F128" s="4">
        <v>0</v>
      </c>
      <c r="G128" s="4" t="s">
        <v>652</v>
      </c>
      <c r="H128" s="4">
        <v>0</v>
      </c>
      <c r="I128" s="4">
        <v>0</v>
      </c>
      <c r="J128" s="4">
        <v>0</v>
      </c>
      <c r="K128" s="4">
        <v>3</v>
      </c>
      <c r="L128" s="4">
        <v>0</v>
      </c>
      <c r="M128" s="4" t="s">
        <v>18</v>
      </c>
      <c r="N128" s="4">
        <v>0</v>
      </c>
      <c r="O128" s="3">
        <f>=0</f>
      </c>
    </row>
    <row r="129" spans="1:15" x14ac:dyDescent="0.25">
      <c r="A129" s="2" t="s">
        <v>653</v>
      </c>
      <c r="B129" s="4">
        <v>1</v>
      </c>
      <c r="C129" s="4"/>
      <c r="D129" s="4">
        <v>0</v>
      </c>
      <c r="E129" s="4" t="s">
        <v>102</v>
      </c>
      <c r="F129" s="4">
        <v>0</v>
      </c>
      <c r="G129" s="4" t="s">
        <v>654</v>
      </c>
      <c r="H129" s="4">
        <v>0</v>
      </c>
      <c r="I129" s="4">
        <v>0</v>
      </c>
      <c r="J129" s="4">
        <v>0</v>
      </c>
      <c r="K129" s="4">
        <v>3</v>
      </c>
      <c r="L129" s="4">
        <v>0</v>
      </c>
      <c r="M129" s="4" t="s">
        <v>18</v>
      </c>
      <c r="N129" s="4">
        <v>0</v>
      </c>
      <c r="O129" s="3">
        <f>=0</f>
      </c>
    </row>
    <row r="130" spans="1:15" x14ac:dyDescent="0.25">
      <c r="A130" s="2" t="s">
        <v>655</v>
      </c>
      <c r="B130" s="4">
        <v>1</v>
      </c>
      <c r="C130" s="4"/>
      <c r="D130" s="4">
        <v>0</v>
      </c>
      <c r="E130" s="4" t="s">
        <v>102</v>
      </c>
      <c r="F130" s="4">
        <v>0</v>
      </c>
      <c r="G130" s="4" t="s">
        <v>656</v>
      </c>
      <c r="H130" s="4">
        <v>0</v>
      </c>
      <c r="I130" s="4">
        <v>0</v>
      </c>
      <c r="J130" s="4">
        <v>0</v>
      </c>
      <c r="K130" s="4">
        <v>3</v>
      </c>
      <c r="L130" s="4">
        <v>0</v>
      </c>
      <c r="M130" s="4" t="s">
        <v>18</v>
      </c>
      <c r="N130" s="4">
        <v>0</v>
      </c>
      <c r="O130" s="3">
        <f>=0</f>
      </c>
    </row>
    <row r="131" spans="1:15" x14ac:dyDescent="0.25">
      <c r="A131" s="2" t="s">
        <v>657</v>
      </c>
      <c r="B131" s="4">
        <v>1</v>
      </c>
      <c r="C131" s="4"/>
      <c r="D131" s="4">
        <v>0</v>
      </c>
      <c r="E131" s="4" t="s">
        <v>102</v>
      </c>
      <c r="F131" s="4">
        <v>0</v>
      </c>
      <c r="G131" s="4" t="s">
        <v>658</v>
      </c>
      <c r="H131" s="4">
        <v>0</v>
      </c>
      <c r="I131" s="4">
        <v>0</v>
      </c>
      <c r="J131" s="4">
        <v>0</v>
      </c>
      <c r="K131" s="4">
        <v>3</v>
      </c>
      <c r="L131" s="4">
        <v>0</v>
      </c>
      <c r="M131" s="4" t="s">
        <v>18</v>
      </c>
      <c r="N131" s="4">
        <v>0</v>
      </c>
      <c r="O131" s="3">
        <f>=0</f>
      </c>
    </row>
    <row r="132" spans="1:15" x14ac:dyDescent="0.25">
      <c r="A132" s="2" t="s">
        <v>659</v>
      </c>
      <c r="B132" s="4">
        <v>1</v>
      </c>
      <c r="C132" s="4"/>
      <c r="D132" s="4">
        <v>0</v>
      </c>
      <c r="E132" s="4" t="s">
        <v>102</v>
      </c>
      <c r="F132" s="4">
        <v>0</v>
      </c>
      <c r="G132" s="4" t="s">
        <v>660</v>
      </c>
      <c r="H132" s="4">
        <v>0</v>
      </c>
      <c r="I132" s="4">
        <v>0</v>
      </c>
      <c r="J132" s="4">
        <v>0</v>
      </c>
      <c r="K132" s="4">
        <v>3</v>
      </c>
      <c r="L132" s="4">
        <v>0</v>
      </c>
      <c r="M132" s="4" t="s">
        <v>18</v>
      </c>
      <c r="N132" s="4">
        <v>0</v>
      </c>
      <c r="O132" s="3">
        <f>=0</f>
      </c>
    </row>
    <row r="133" spans="1:15" x14ac:dyDescent="0.25">
      <c r="A133" s="2" t="s">
        <v>661</v>
      </c>
      <c r="B133" s="4">
        <v>1</v>
      </c>
      <c r="C133" s="4"/>
      <c r="D133" s="4">
        <v>0</v>
      </c>
      <c r="E133" s="4" t="s">
        <v>102</v>
      </c>
      <c r="F133" s="4">
        <v>0</v>
      </c>
      <c r="G133" s="4" t="s">
        <v>662</v>
      </c>
      <c r="H133" s="4">
        <v>0</v>
      </c>
      <c r="I133" s="4">
        <v>0</v>
      </c>
      <c r="J133" s="4">
        <v>0</v>
      </c>
      <c r="K133" s="4">
        <v>3</v>
      </c>
      <c r="L133" s="4">
        <v>0</v>
      </c>
      <c r="M133" s="4" t="s">
        <v>18</v>
      </c>
      <c r="N133" s="4">
        <v>0</v>
      </c>
      <c r="O133" s="3">
        <f>=0</f>
      </c>
    </row>
    <row r="134" spans="1:15" x14ac:dyDescent="0.25">
      <c r="A134" s="2" t="s">
        <v>663</v>
      </c>
      <c r="B134" s="4">
        <v>1</v>
      </c>
      <c r="C134" s="4"/>
      <c r="D134" s="4">
        <v>0</v>
      </c>
      <c r="E134" s="4" t="s">
        <v>102</v>
      </c>
      <c r="F134" s="4">
        <v>0</v>
      </c>
      <c r="G134" s="4" t="s">
        <v>664</v>
      </c>
      <c r="H134" s="4">
        <v>0</v>
      </c>
      <c r="I134" s="4">
        <v>0</v>
      </c>
      <c r="J134" s="4">
        <v>0</v>
      </c>
      <c r="K134" s="4">
        <v>3</v>
      </c>
      <c r="L134" s="4">
        <v>0</v>
      </c>
      <c r="M134" s="4" t="s">
        <v>18</v>
      </c>
      <c r="N134" s="4">
        <v>0</v>
      </c>
      <c r="O134" s="3">
        <f>=0</f>
      </c>
    </row>
    <row r="135" spans="1:15" x14ac:dyDescent="0.25">
      <c r="A135" s="2" t="s">
        <v>665</v>
      </c>
      <c r="B135" s="4">
        <v>1</v>
      </c>
      <c r="C135" s="4"/>
      <c r="D135" s="4">
        <v>0</v>
      </c>
      <c r="E135" s="4" t="s">
        <v>102</v>
      </c>
      <c r="F135" s="4">
        <v>0</v>
      </c>
      <c r="G135" s="4" t="s">
        <v>666</v>
      </c>
      <c r="H135" s="4">
        <v>0</v>
      </c>
      <c r="I135" s="4">
        <v>0</v>
      </c>
      <c r="J135" s="4">
        <v>0</v>
      </c>
      <c r="K135" s="4">
        <v>4</v>
      </c>
      <c r="L135" s="4">
        <v>0</v>
      </c>
      <c r="M135" s="4" t="s">
        <v>18</v>
      </c>
      <c r="N135" s="4">
        <v>0</v>
      </c>
      <c r="O135" s="3">
        <f>=0</f>
      </c>
    </row>
    <row r="136" spans="1:15" x14ac:dyDescent="0.25">
      <c r="A136" s="2" t="s">
        <v>667</v>
      </c>
      <c r="B136" s="4">
        <v>1</v>
      </c>
      <c r="C136" s="4"/>
      <c r="D136" s="4">
        <v>0</v>
      </c>
      <c r="E136" s="4" t="s">
        <v>102</v>
      </c>
      <c r="F136" s="4">
        <v>0</v>
      </c>
      <c r="G136" s="4" t="s">
        <v>668</v>
      </c>
      <c r="H136" s="4">
        <v>0</v>
      </c>
      <c r="I136" s="4">
        <v>0</v>
      </c>
      <c r="J136" s="4">
        <v>0</v>
      </c>
      <c r="K136" s="4">
        <v>4</v>
      </c>
      <c r="L136" s="4">
        <v>0</v>
      </c>
      <c r="M136" s="4" t="s">
        <v>18</v>
      </c>
      <c r="N136" s="4">
        <v>0</v>
      </c>
      <c r="O136" s="3">
        <f>=0</f>
      </c>
    </row>
    <row r="137" spans="1:15" x14ac:dyDescent="0.25">
      <c r="A137" s="2" t="s">
        <v>669</v>
      </c>
      <c r="B137" s="4">
        <v>1</v>
      </c>
      <c r="C137" s="4"/>
      <c r="D137" s="4">
        <v>0</v>
      </c>
      <c r="E137" s="4" t="s">
        <v>102</v>
      </c>
      <c r="F137" s="4">
        <v>0</v>
      </c>
      <c r="G137" s="4" t="s">
        <v>670</v>
      </c>
      <c r="H137" s="4">
        <v>0</v>
      </c>
      <c r="I137" s="4">
        <v>0</v>
      </c>
      <c r="J137" s="4">
        <v>0</v>
      </c>
      <c r="K137" s="4">
        <v>4</v>
      </c>
      <c r="L137" s="4">
        <v>0</v>
      </c>
      <c r="M137" s="4" t="s">
        <v>18</v>
      </c>
      <c r="N137" s="4">
        <v>0</v>
      </c>
      <c r="O137" s="3">
        <f>=0</f>
      </c>
    </row>
    <row r="138" spans="1:15" x14ac:dyDescent="0.25">
      <c r="A138" s="2" t="s">
        <v>671</v>
      </c>
      <c r="B138" s="4">
        <v>1</v>
      </c>
      <c r="C138" s="4"/>
      <c r="D138" s="4">
        <v>0</v>
      </c>
      <c r="E138" s="4" t="s">
        <v>102</v>
      </c>
      <c r="F138" s="4">
        <v>0</v>
      </c>
      <c r="G138" s="4" t="s">
        <v>672</v>
      </c>
      <c r="H138" s="4">
        <v>0</v>
      </c>
      <c r="I138" s="4">
        <v>0</v>
      </c>
      <c r="J138" s="4">
        <v>0</v>
      </c>
      <c r="K138" s="4">
        <v>4</v>
      </c>
      <c r="L138" s="4">
        <v>0</v>
      </c>
      <c r="M138" s="4" t="s">
        <v>18</v>
      </c>
      <c r="N138" s="4">
        <v>0</v>
      </c>
      <c r="O138" s="3">
        <f>=0</f>
      </c>
    </row>
    <row r="139" spans="1:15" x14ac:dyDescent="0.25">
      <c r="A139" s="2" t="s">
        <v>673</v>
      </c>
      <c r="B139" s="4">
        <v>1</v>
      </c>
      <c r="C139" s="4"/>
      <c r="D139" s="4">
        <v>0</v>
      </c>
      <c r="E139" s="4" t="s">
        <v>102</v>
      </c>
      <c r="F139" s="4">
        <v>0</v>
      </c>
      <c r="G139" s="4" t="s">
        <v>674</v>
      </c>
      <c r="H139" s="4">
        <v>0</v>
      </c>
      <c r="I139" s="4">
        <v>0</v>
      </c>
      <c r="J139" s="4">
        <v>0</v>
      </c>
      <c r="K139" s="4">
        <v>3</v>
      </c>
      <c r="L139" s="4">
        <v>0</v>
      </c>
      <c r="M139" s="4" t="s">
        <v>18</v>
      </c>
      <c r="N139" s="4">
        <v>0</v>
      </c>
      <c r="O139" s="3">
        <f>=0</f>
      </c>
    </row>
    <row r="140" spans="1:15" x14ac:dyDescent="0.25">
      <c r="A140" s="2" t="s">
        <v>675</v>
      </c>
      <c r="B140" s="4">
        <v>1</v>
      </c>
      <c r="C140" s="4"/>
      <c r="D140" s="4">
        <v>0</v>
      </c>
      <c r="E140" s="4" t="s">
        <v>102</v>
      </c>
      <c r="F140" s="4">
        <v>0</v>
      </c>
      <c r="G140" s="4" t="s">
        <v>676</v>
      </c>
      <c r="H140" s="4">
        <v>0</v>
      </c>
      <c r="I140" s="4">
        <v>0</v>
      </c>
      <c r="J140" s="4">
        <v>0</v>
      </c>
      <c r="K140" s="4">
        <v>3</v>
      </c>
      <c r="L140" s="4">
        <v>0</v>
      </c>
      <c r="M140" s="4" t="s">
        <v>18</v>
      </c>
      <c r="N140" s="4">
        <v>0</v>
      </c>
      <c r="O140" s="3">
        <f>=0</f>
      </c>
    </row>
    <row r="141" spans="1:15" x14ac:dyDescent="0.25">
      <c r="A141" s="2" t="s">
        <v>677</v>
      </c>
      <c r="B141" s="4">
        <v>2</v>
      </c>
      <c r="C141" s="4"/>
      <c r="D141" s="4">
        <v>0</v>
      </c>
      <c r="E141" s="4" t="s">
        <v>102</v>
      </c>
      <c r="F141" s="4">
        <v>0</v>
      </c>
      <c r="G141" s="4" t="s">
        <v>678</v>
      </c>
      <c r="H141" s="4">
        <v>0</v>
      </c>
      <c r="I141" s="4">
        <v>0</v>
      </c>
      <c r="J141" s="4">
        <v>0</v>
      </c>
      <c r="K141" s="4">
        <v>3</v>
      </c>
      <c r="L141" s="4">
        <v>0</v>
      </c>
      <c r="M141" s="4" t="s">
        <v>18</v>
      </c>
      <c r="N141" s="4">
        <v>0</v>
      </c>
      <c r="O141" s="3">
        <f>=0</f>
      </c>
    </row>
    <row r="142" spans="1:15" x14ac:dyDescent="0.25">
      <c r="A142" s="2" t="s">
        <v>679</v>
      </c>
      <c r="B142" s="4">
        <v>1</v>
      </c>
      <c r="C142" s="4"/>
      <c r="D142" s="4">
        <v>0</v>
      </c>
      <c r="E142" s="4" t="s">
        <v>102</v>
      </c>
      <c r="F142" s="4">
        <v>0</v>
      </c>
      <c r="G142" s="4" t="s">
        <v>680</v>
      </c>
      <c r="H142" s="4">
        <v>0</v>
      </c>
      <c r="I142" s="4">
        <v>0</v>
      </c>
      <c r="J142" s="4">
        <v>0</v>
      </c>
      <c r="K142" s="4">
        <v>3</v>
      </c>
      <c r="L142" s="4">
        <v>0</v>
      </c>
      <c r="M142" s="4" t="s">
        <v>18</v>
      </c>
      <c r="N142" s="4">
        <v>0</v>
      </c>
      <c r="O142" s="3">
        <f>=0</f>
      </c>
    </row>
    <row r="143" spans="1:15" x14ac:dyDescent="0.25">
      <c r="A143" s="2" t="s">
        <v>681</v>
      </c>
      <c r="B143" s="4">
        <v>1</v>
      </c>
      <c r="C143" s="4"/>
      <c r="D143" s="4">
        <v>0</v>
      </c>
      <c r="E143" s="4" t="s">
        <v>102</v>
      </c>
      <c r="F143" s="4">
        <v>0</v>
      </c>
      <c r="G143" s="4" t="s">
        <v>682</v>
      </c>
      <c r="H143" s="4">
        <v>0</v>
      </c>
      <c r="I143" s="4">
        <v>0</v>
      </c>
      <c r="J143" s="4">
        <v>0</v>
      </c>
      <c r="K143" s="4">
        <v>3</v>
      </c>
      <c r="L143" s="4">
        <v>0</v>
      </c>
      <c r="M143" s="4" t="s">
        <v>18</v>
      </c>
      <c r="N143" s="4">
        <v>0</v>
      </c>
      <c r="O143" s="3">
        <f>=0</f>
      </c>
    </row>
    <row r="144" spans="1:15" x14ac:dyDescent="0.25">
      <c r="A144" s="2" t="s">
        <v>683</v>
      </c>
      <c r="B144" s="4">
        <v>1</v>
      </c>
      <c r="C144" s="4"/>
      <c r="D144" s="4">
        <v>0</v>
      </c>
      <c r="E144" s="4" t="s">
        <v>102</v>
      </c>
      <c r="F144" s="4">
        <v>0</v>
      </c>
      <c r="G144" s="4" t="s">
        <v>684</v>
      </c>
      <c r="H144" s="4">
        <v>0</v>
      </c>
      <c r="I144" s="4">
        <v>0</v>
      </c>
      <c r="J144" s="4">
        <v>0</v>
      </c>
      <c r="K144" s="4">
        <v>3</v>
      </c>
      <c r="L144" s="4">
        <v>0</v>
      </c>
      <c r="M144" s="4" t="s">
        <v>18</v>
      </c>
      <c r="N144" s="4">
        <v>0</v>
      </c>
      <c r="O144" s="3">
        <f>=0</f>
      </c>
    </row>
    <row r="145" spans="1:15" x14ac:dyDescent="0.25">
      <c r="A145" s="2" t="s">
        <v>685</v>
      </c>
      <c r="B145" s="4">
        <v>1</v>
      </c>
      <c r="C145" s="4"/>
      <c r="D145" s="4">
        <v>0</v>
      </c>
      <c r="E145" s="4" t="s">
        <v>102</v>
      </c>
      <c r="F145" s="4">
        <v>0</v>
      </c>
      <c r="G145" s="4" t="s">
        <v>686</v>
      </c>
      <c r="H145" s="4">
        <v>0</v>
      </c>
      <c r="I145" s="4">
        <v>0</v>
      </c>
      <c r="J145" s="4">
        <v>0</v>
      </c>
      <c r="K145" s="4">
        <v>3</v>
      </c>
      <c r="L145" s="4">
        <v>0</v>
      </c>
      <c r="M145" s="4" t="s">
        <v>18</v>
      </c>
      <c r="N145" s="4">
        <v>0</v>
      </c>
      <c r="O145" s="3">
        <f>=0</f>
      </c>
    </row>
    <row r="146" spans="1:15" x14ac:dyDescent="0.25">
      <c r="A146" s="2" t="s">
        <v>687</v>
      </c>
      <c r="B146" s="4">
        <v>1</v>
      </c>
      <c r="C146" s="4"/>
      <c r="D146" s="4">
        <v>0</v>
      </c>
      <c r="E146" s="4" t="s">
        <v>102</v>
      </c>
      <c r="F146" s="4">
        <v>0</v>
      </c>
      <c r="G146" s="4" t="s">
        <v>688</v>
      </c>
      <c r="H146" s="4">
        <v>0</v>
      </c>
      <c r="I146" s="4">
        <v>0</v>
      </c>
      <c r="J146" s="4">
        <v>0</v>
      </c>
      <c r="K146" s="4">
        <v>3</v>
      </c>
      <c r="L146" s="4">
        <v>0</v>
      </c>
      <c r="M146" s="4" t="s">
        <v>18</v>
      </c>
      <c r="N146" s="4">
        <v>0</v>
      </c>
      <c r="O146" s="3">
        <f>=0</f>
      </c>
    </row>
    <row r="147" spans="1:15" x14ac:dyDescent="0.25">
      <c r="A147" s="2" t="s">
        <v>689</v>
      </c>
      <c r="B147" s="4">
        <v>1</v>
      </c>
      <c r="C147" s="4"/>
      <c r="D147" s="4">
        <v>0</v>
      </c>
      <c r="E147" s="4" t="s">
        <v>102</v>
      </c>
      <c r="F147" s="4">
        <v>0</v>
      </c>
      <c r="G147" s="4" t="s">
        <v>690</v>
      </c>
      <c r="H147" s="4">
        <v>0</v>
      </c>
      <c r="I147" s="4">
        <v>0</v>
      </c>
      <c r="J147" s="4">
        <v>0</v>
      </c>
      <c r="K147" s="4">
        <v>3</v>
      </c>
      <c r="L147" s="4">
        <v>0</v>
      </c>
      <c r="M147" s="4" t="s">
        <v>18</v>
      </c>
      <c r="N147" s="4">
        <v>0</v>
      </c>
      <c r="O147" s="3">
        <f>=0</f>
      </c>
    </row>
    <row r="148" spans="1:15" x14ac:dyDescent="0.25">
      <c r="A148" s="2" t="s">
        <v>691</v>
      </c>
      <c r="B148" s="4">
        <v>1</v>
      </c>
      <c r="C148" s="4"/>
      <c r="D148" s="4">
        <v>0</v>
      </c>
      <c r="E148" s="4" t="s">
        <v>102</v>
      </c>
      <c r="F148" s="4">
        <v>0</v>
      </c>
      <c r="G148" s="4" t="s">
        <v>692</v>
      </c>
      <c r="H148" s="4">
        <v>0</v>
      </c>
      <c r="I148" s="4">
        <v>0</v>
      </c>
      <c r="J148" s="4">
        <v>0</v>
      </c>
      <c r="K148" s="4">
        <v>3</v>
      </c>
      <c r="L148" s="4">
        <v>0</v>
      </c>
      <c r="M148" s="4" t="s">
        <v>18</v>
      </c>
      <c r="N148" s="4">
        <v>0</v>
      </c>
      <c r="O148" s="3">
        <f>=0</f>
      </c>
    </row>
    <row r="149" spans="1:15" x14ac:dyDescent="0.25">
      <c r="A149" s="2" t="s">
        <v>693</v>
      </c>
      <c r="B149" s="4">
        <v>1</v>
      </c>
      <c r="C149" s="4"/>
      <c r="D149" s="4">
        <v>0</v>
      </c>
      <c r="E149" s="4" t="s">
        <v>102</v>
      </c>
      <c r="F149" s="4">
        <v>0</v>
      </c>
      <c r="G149" s="4" t="s">
        <v>694</v>
      </c>
      <c r="H149" s="4">
        <v>0</v>
      </c>
      <c r="I149" s="4">
        <v>0</v>
      </c>
      <c r="J149" s="4">
        <v>0</v>
      </c>
      <c r="K149" s="4">
        <v>3</v>
      </c>
      <c r="L149" s="4">
        <v>0</v>
      </c>
      <c r="M149" s="4" t="s">
        <v>18</v>
      </c>
      <c r="N149" s="4">
        <v>0</v>
      </c>
      <c r="O149" s="3">
        <f>=0</f>
      </c>
    </row>
    <row r="150" spans="1:15" x14ac:dyDescent="0.25">
      <c r="A150" s="2" t="s">
        <v>695</v>
      </c>
      <c r="B150" s="4">
        <v>1</v>
      </c>
      <c r="C150" s="4"/>
      <c r="D150" s="4">
        <v>0</v>
      </c>
      <c r="E150" s="4" t="s">
        <v>102</v>
      </c>
      <c r="F150" s="4">
        <v>0</v>
      </c>
      <c r="G150" s="4" t="s">
        <v>696</v>
      </c>
      <c r="H150" s="4">
        <v>0</v>
      </c>
      <c r="I150" s="4">
        <v>0</v>
      </c>
      <c r="J150" s="4">
        <v>0</v>
      </c>
      <c r="K150" s="4">
        <v>3</v>
      </c>
      <c r="L150" s="4">
        <v>0</v>
      </c>
      <c r="M150" s="4" t="s">
        <v>18</v>
      </c>
      <c r="N150" s="4">
        <v>0</v>
      </c>
      <c r="O150" s="3">
        <f>=0</f>
      </c>
    </row>
    <row r="151" spans="1:15" x14ac:dyDescent="0.25">
      <c r="A151" s="2" t="s">
        <v>697</v>
      </c>
      <c r="B151" s="4">
        <v>1</v>
      </c>
      <c r="C151" s="4"/>
      <c r="D151" s="4">
        <v>0</v>
      </c>
      <c r="E151" s="4" t="s">
        <v>102</v>
      </c>
      <c r="F151" s="4">
        <v>0</v>
      </c>
      <c r="G151" s="4" t="s">
        <v>698</v>
      </c>
      <c r="H151" s="4">
        <v>0</v>
      </c>
      <c r="I151" s="4">
        <v>0</v>
      </c>
      <c r="J151" s="4">
        <v>0</v>
      </c>
      <c r="K151" s="4">
        <v>3</v>
      </c>
      <c r="L151" s="4">
        <v>0</v>
      </c>
      <c r="M151" s="4" t="s">
        <v>18</v>
      </c>
      <c r="N151" s="4">
        <v>0</v>
      </c>
      <c r="O151" s="3">
        <f>=0</f>
      </c>
    </row>
    <row r="152" spans="1:15" x14ac:dyDescent="0.25">
      <c r="A152" s="2" t="s">
        <v>699</v>
      </c>
      <c r="B152" s="4">
        <v>3</v>
      </c>
      <c r="C152" s="4"/>
      <c r="D152" s="4">
        <v>0</v>
      </c>
      <c r="E152" s="4" t="s">
        <v>102</v>
      </c>
      <c r="F152" s="4">
        <v>0</v>
      </c>
      <c r="G152" s="4" t="s">
        <v>700</v>
      </c>
      <c r="H152" s="4">
        <v>0</v>
      </c>
      <c r="I152" s="4">
        <v>0</v>
      </c>
      <c r="J152" s="4">
        <v>0</v>
      </c>
      <c r="K152" s="4">
        <v>3</v>
      </c>
      <c r="L152" s="4">
        <v>0</v>
      </c>
      <c r="M152" s="4" t="s">
        <v>18</v>
      </c>
      <c r="N152" s="4">
        <v>0</v>
      </c>
      <c r="O152" s="3">
        <f>=0</f>
      </c>
    </row>
    <row r="153" spans="1:15" x14ac:dyDescent="0.25">
      <c r="A153" s="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5" t="s">
        <v>25</v>
      </c>
      <c r="O153" s="6">
        <f>=SUM(O2:O152)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2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701</v>
      </c>
      <c r="B2" s="4">
        <v>1</v>
      </c>
      <c r="C2" s="4" t="s">
        <v>27</v>
      </c>
      <c r="D2" s="4"/>
      <c r="E2" s="4"/>
      <c r="F2" s="4">
        <v>200</v>
      </c>
      <c r="G2" s="4" t="s">
        <v>702</v>
      </c>
      <c r="H2" s="4"/>
      <c r="I2" s="4"/>
      <c r="J2" s="4">
        <v>12.5</v>
      </c>
      <c r="K2" s="4"/>
      <c r="L2" s="4"/>
      <c r="M2" s="4" t="s">
        <v>18</v>
      </c>
      <c r="N2" s="4">
        <v>60</v>
      </c>
      <c r="O2" s="3">
        <f>=B2*(N2*F2/10000)*J2</f>
      </c>
    </row>
    <row r="3" spans="1:15" x14ac:dyDescent="0.25">
      <c r="A3" s="2" t="s">
        <v>703</v>
      </c>
      <c r="B3" s="4">
        <v>1</v>
      </c>
      <c r="C3" s="4" t="s">
        <v>27</v>
      </c>
      <c r="D3" s="4"/>
      <c r="E3" s="4"/>
      <c r="F3" s="4">
        <v>30.5</v>
      </c>
      <c r="G3" s="4" t="s">
        <v>704</v>
      </c>
      <c r="H3" s="4"/>
      <c r="I3" s="4"/>
      <c r="J3" s="4">
        <v>12.5</v>
      </c>
      <c r="K3" s="4"/>
      <c r="L3" s="4"/>
      <c r="M3" s="4" t="s">
        <v>18</v>
      </c>
      <c r="N3" s="4">
        <v>200</v>
      </c>
      <c r="O3" s="3">
        <f>=B3*(N3*F3/10000)*J3</f>
      </c>
    </row>
    <row r="4" spans="1:15" x14ac:dyDescent="0.25">
      <c r="A4" s="2" t="s">
        <v>705</v>
      </c>
      <c r="B4" s="4">
        <v>1</v>
      </c>
      <c r="C4" s="4" t="s">
        <v>27</v>
      </c>
      <c r="D4" s="4"/>
      <c r="E4" s="4"/>
      <c r="F4" s="4">
        <v>45</v>
      </c>
      <c r="G4" s="4" t="s">
        <v>706</v>
      </c>
      <c r="H4" s="4"/>
      <c r="I4" s="4"/>
      <c r="J4" s="4">
        <v>12.5</v>
      </c>
      <c r="K4" s="4"/>
      <c r="L4" s="4"/>
      <c r="M4" s="4" t="s">
        <v>18</v>
      </c>
      <c r="N4" s="4">
        <v>65</v>
      </c>
      <c r="O4" s="3">
        <f>=B4*(N4*F4/10000)*J4</f>
      </c>
    </row>
    <row r="5" spans="1:15" x14ac:dyDescent="0.25">
      <c r="A5" s="2" t="s">
        <v>707</v>
      </c>
      <c r="B5" s="4">
        <v>6</v>
      </c>
      <c r="C5" s="4" t="s">
        <v>27</v>
      </c>
      <c r="D5" s="4"/>
      <c r="E5" s="4"/>
      <c r="F5" s="4">
        <v>45</v>
      </c>
      <c r="G5" s="4" t="s">
        <v>708</v>
      </c>
      <c r="H5" s="4"/>
      <c r="I5" s="4"/>
      <c r="J5" s="4">
        <v>12.5</v>
      </c>
      <c r="K5" s="4"/>
      <c r="L5" s="4"/>
      <c r="M5" s="4" t="s">
        <v>18</v>
      </c>
      <c r="N5" s="4">
        <v>125</v>
      </c>
      <c r="O5" s="3">
        <f>=B5*(N5*F5/10000)*J5</f>
      </c>
    </row>
    <row r="6" spans="1:15" x14ac:dyDescent="0.25">
      <c r="A6" s="2" t="s">
        <v>709</v>
      </c>
      <c r="B6" s="4">
        <v>0</v>
      </c>
      <c r="C6" s="4" t="s">
        <v>27</v>
      </c>
      <c r="D6" s="4"/>
      <c r="E6" s="4"/>
      <c r="F6" s="4">
        <v>250</v>
      </c>
      <c r="G6" s="4" t="s">
        <v>710</v>
      </c>
      <c r="H6" s="4"/>
      <c r="I6" s="4"/>
      <c r="J6" s="4">
        <v>12.5</v>
      </c>
      <c r="K6" s="4">
        <v>8</v>
      </c>
      <c r="L6" s="4"/>
      <c r="M6" s="4" t="s">
        <v>18</v>
      </c>
      <c r="N6" s="4">
        <v>100</v>
      </c>
      <c r="O6" s="3">
        <f>=B6*(N6*F6/10000)*J6</f>
      </c>
    </row>
    <row r="7" spans="1:15" x14ac:dyDescent="0.25">
      <c r="A7" s="2" t="s">
        <v>711</v>
      </c>
      <c r="B7" s="4">
        <v>2</v>
      </c>
      <c r="C7" s="4" t="s">
        <v>27</v>
      </c>
      <c r="D7" s="4"/>
      <c r="E7" s="4"/>
      <c r="F7" s="4">
        <v>50</v>
      </c>
      <c r="G7" s="4" t="s">
        <v>712</v>
      </c>
      <c r="H7" s="4"/>
      <c r="I7" s="4"/>
      <c r="J7" s="4">
        <v>12.5</v>
      </c>
      <c r="K7" s="4">
        <v>3</v>
      </c>
      <c r="L7" s="4"/>
      <c r="M7" s="4" t="s">
        <v>18</v>
      </c>
      <c r="N7" s="4">
        <v>70</v>
      </c>
      <c r="O7" s="3">
        <f>=B7*(N7*F7/10000)*J7</f>
      </c>
    </row>
    <row r="8" spans="1:15" x14ac:dyDescent="0.25">
      <c r="A8" s="2" t="s">
        <v>713</v>
      </c>
      <c r="B8" s="4">
        <v>1</v>
      </c>
      <c r="C8" s="4"/>
      <c r="D8" s="4">
        <v>0</v>
      </c>
      <c r="E8" s="4" t="s">
        <v>102</v>
      </c>
      <c r="F8" s="4">
        <v>0</v>
      </c>
      <c r="G8" s="4" t="s">
        <v>714</v>
      </c>
      <c r="H8" s="4">
        <v>0</v>
      </c>
      <c r="I8" s="4">
        <v>0</v>
      </c>
      <c r="J8" s="4">
        <v>0</v>
      </c>
      <c r="K8" s="4">
        <v>3</v>
      </c>
      <c r="L8" s="4">
        <v>0</v>
      </c>
      <c r="M8" s="4" t="s">
        <v>18</v>
      </c>
      <c r="N8" s="4">
        <v>0</v>
      </c>
      <c r="O8" s="3">
        <f>=0</f>
      </c>
    </row>
    <row r="9" spans="1:15" x14ac:dyDescent="0.25">
      <c r="A9" s="2" t="s">
        <v>715</v>
      </c>
      <c r="B9" s="4">
        <v>1</v>
      </c>
      <c r="C9" s="4"/>
      <c r="D9" s="4">
        <v>0</v>
      </c>
      <c r="E9" s="4" t="s">
        <v>102</v>
      </c>
      <c r="F9" s="4">
        <v>0</v>
      </c>
      <c r="G9" s="4" t="s">
        <v>716</v>
      </c>
      <c r="H9" s="4">
        <v>0</v>
      </c>
      <c r="I9" s="4">
        <v>0</v>
      </c>
      <c r="J9" s="4">
        <v>0</v>
      </c>
      <c r="K9" s="4">
        <v>3</v>
      </c>
      <c r="L9" s="4">
        <v>0</v>
      </c>
      <c r="M9" s="4" t="s">
        <v>18</v>
      </c>
      <c r="N9" s="4">
        <v>0</v>
      </c>
      <c r="O9" s="3">
        <f>=0</f>
      </c>
    </row>
    <row r="10" spans="1:15" x14ac:dyDescent="0.25">
      <c r="A10" s="2" t="s">
        <v>717</v>
      </c>
      <c r="B10" s="4">
        <v>1</v>
      </c>
      <c r="C10" s="4"/>
      <c r="D10" s="4">
        <v>0</v>
      </c>
      <c r="E10" s="4" t="s">
        <v>102</v>
      </c>
      <c r="F10" s="4">
        <v>0</v>
      </c>
      <c r="G10" s="4" t="s">
        <v>718</v>
      </c>
      <c r="H10" s="4">
        <v>0</v>
      </c>
      <c r="I10" s="4">
        <v>0</v>
      </c>
      <c r="J10" s="4">
        <v>0</v>
      </c>
      <c r="K10" s="4">
        <v>3</v>
      </c>
      <c r="L10" s="4">
        <v>0</v>
      </c>
      <c r="M10" s="4" t="s">
        <v>18</v>
      </c>
      <c r="N10" s="4">
        <v>0</v>
      </c>
      <c r="O10" s="3">
        <f>=0</f>
      </c>
    </row>
    <row r="11" spans="1:15" x14ac:dyDescent="0.25">
      <c r="A11" s="2" t="s">
        <v>719</v>
      </c>
      <c r="B11" s="4">
        <v>4</v>
      </c>
      <c r="C11" s="4"/>
      <c r="D11" s="4">
        <v>0</v>
      </c>
      <c r="E11" s="4" t="s">
        <v>102</v>
      </c>
      <c r="F11" s="4">
        <v>0</v>
      </c>
      <c r="G11" s="4" t="s">
        <v>720</v>
      </c>
      <c r="H11" s="4">
        <v>0</v>
      </c>
      <c r="I11" s="4">
        <v>0</v>
      </c>
      <c r="J11" s="4">
        <v>0</v>
      </c>
      <c r="K11" s="4">
        <v>4</v>
      </c>
      <c r="L11" s="4">
        <v>0</v>
      </c>
      <c r="M11" s="4" t="s">
        <v>18</v>
      </c>
      <c r="N11" s="4">
        <v>0</v>
      </c>
      <c r="O11" s="3">
        <f>=0</f>
      </c>
    </row>
    <row r="12" spans="1:15" x14ac:dyDescent="0.25">
      <c r="A12" s="2" t="s">
        <v>721</v>
      </c>
      <c r="B12" s="4">
        <v>8</v>
      </c>
      <c r="C12" s="4"/>
      <c r="D12" s="4">
        <v>0</v>
      </c>
      <c r="E12" s="4" t="s">
        <v>102</v>
      </c>
      <c r="F12" s="4">
        <v>0</v>
      </c>
      <c r="G12" s="4" t="s">
        <v>722</v>
      </c>
      <c r="H12" s="4">
        <v>0</v>
      </c>
      <c r="I12" s="4">
        <v>0</v>
      </c>
      <c r="J12" s="4">
        <v>0</v>
      </c>
      <c r="K12" s="4">
        <v>4</v>
      </c>
      <c r="L12" s="4">
        <v>0</v>
      </c>
      <c r="M12" s="4" t="s">
        <v>18</v>
      </c>
      <c r="N12" s="4">
        <v>0</v>
      </c>
      <c r="O12" s="3">
        <f>=0</f>
      </c>
    </row>
    <row r="13" spans="1:15" x14ac:dyDescent="0.2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 t="s">
        <v>25</v>
      </c>
      <c r="O13" s="6">
        <f>=SUM(O2:O12)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723</v>
      </c>
      <c r="B2" s="4">
        <v>1</v>
      </c>
      <c r="C2" s="4" t="s">
        <v>27</v>
      </c>
      <c r="D2" s="4"/>
      <c r="E2" s="4"/>
      <c r="F2" s="4">
        <v>87</v>
      </c>
      <c r="G2" s="4" t="s">
        <v>724</v>
      </c>
      <c r="H2" s="4"/>
      <c r="I2" s="4"/>
      <c r="J2" s="4">
        <v>1.31</v>
      </c>
      <c r="K2" s="4">
        <v>3</v>
      </c>
      <c r="L2" s="4"/>
      <c r="M2" s="4" t="s">
        <v>18</v>
      </c>
      <c r="N2" s="4">
        <v>150</v>
      </c>
      <c r="O2" s="3">
        <f>=B2*(N2*F2/10000)*J2</f>
      </c>
    </row>
    <row r="3" spans="1:15" x14ac:dyDescent="0.25">
      <c r="A3" s="2" t="s">
        <v>725</v>
      </c>
      <c r="B3" s="4">
        <v>1</v>
      </c>
      <c r="C3" s="4" t="s">
        <v>27</v>
      </c>
      <c r="D3" s="4"/>
      <c r="E3" s="4"/>
      <c r="F3" s="4">
        <v>35</v>
      </c>
      <c r="G3" s="4" t="s">
        <v>726</v>
      </c>
      <c r="H3" s="4"/>
      <c r="I3" s="4"/>
      <c r="J3" s="4">
        <v>0.75</v>
      </c>
      <c r="K3" s="4">
        <v>3</v>
      </c>
      <c r="L3" s="4"/>
      <c r="M3" s="4" t="s">
        <v>18</v>
      </c>
      <c r="N3" s="4">
        <v>215</v>
      </c>
      <c r="O3" s="3">
        <f>=B3*(N3*F3/10000)*J3</f>
      </c>
    </row>
    <row r="4" spans="1:15" x14ac:dyDescent="0.25">
      <c r="A4" s="2" t="s">
        <v>727</v>
      </c>
      <c r="B4" s="4">
        <v>1</v>
      </c>
      <c r="C4" s="4" t="s">
        <v>27</v>
      </c>
      <c r="D4" s="4"/>
      <c r="E4" s="4"/>
      <c r="F4" s="4">
        <v>35</v>
      </c>
      <c r="G4" s="4" t="s">
        <v>728</v>
      </c>
      <c r="H4" s="4"/>
      <c r="I4" s="4"/>
      <c r="J4" s="4">
        <v>0.61</v>
      </c>
      <c r="K4" s="4">
        <v>3</v>
      </c>
      <c r="L4" s="4"/>
      <c r="M4" s="4" t="s">
        <v>18</v>
      </c>
      <c r="N4" s="4">
        <v>175</v>
      </c>
      <c r="O4" s="3">
        <f>=B4*(N4*F4/10000)*J4</f>
      </c>
    </row>
    <row r="5" spans="1: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25</v>
      </c>
      <c r="O5" s="6">
        <f>=SUM(O2:O4)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729</v>
      </c>
      <c r="B2" s="4">
        <v>7</v>
      </c>
      <c r="C2" s="4" t="s">
        <v>27</v>
      </c>
      <c r="D2" s="4"/>
      <c r="E2" s="4"/>
      <c r="F2" s="4">
        <v>30</v>
      </c>
      <c r="G2" s="4" t="s">
        <v>730</v>
      </c>
      <c r="H2" s="4"/>
      <c r="I2" s="4"/>
      <c r="J2" s="4">
        <v>151.46</v>
      </c>
      <c r="K2" s="4">
        <v>7</v>
      </c>
      <c r="L2" s="4"/>
      <c r="M2" s="4" t="s">
        <v>18</v>
      </c>
      <c r="N2" s="4">
        <v>30</v>
      </c>
      <c r="O2" s="3">
        <f>=B2*(N2*F2/10000)*J2</f>
      </c>
    </row>
    <row r="3" spans="1:15" x14ac:dyDescent="0.25">
      <c r="A3" s="2" t="s">
        <v>731</v>
      </c>
      <c r="B3" s="4">
        <v>7</v>
      </c>
      <c r="C3" s="4" t="s">
        <v>27</v>
      </c>
      <c r="D3" s="4"/>
      <c r="E3" s="4"/>
      <c r="F3" s="4">
        <v>25</v>
      </c>
      <c r="G3" s="4" t="s">
        <v>732</v>
      </c>
      <c r="H3" s="4"/>
      <c r="I3" s="4"/>
      <c r="J3" s="4">
        <v>151.46</v>
      </c>
      <c r="K3" s="4">
        <v>7</v>
      </c>
      <c r="L3" s="4"/>
      <c r="M3" s="4" t="s">
        <v>18</v>
      </c>
      <c r="N3" s="4">
        <v>30</v>
      </c>
      <c r="O3" s="3">
        <f>=B3*(N3*F3/10000)*J3</f>
      </c>
    </row>
    <row r="4" spans="1:15" x14ac:dyDescent="0.25">
      <c r="A4" s="2" t="s">
        <v>733</v>
      </c>
      <c r="B4" s="4">
        <v>1</v>
      </c>
      <c r="C4" s="4" t="s">
        <v>27</v>
      </c>
      <c r="D4" s="4"/>
      <c r="E4" s="4"/>
      <c r="F4" s="4">
        <v>42</v>
      </c>
      <c r="G4" s="4" t="s">
        <v>734</v>
      </c>
      <c r="H4" s="4"/>
      <c r="I4" s="4"/>
      <c r="J4" s="4">
        <v>151.46</v>
      </c>
      <c r="K4" s="4">
        <v>7</v>
      </c>
      <c r="L4" s="4"/>
      <c r="M4" s="4" t="s">
        <v>18</v>
      </c>
      <c r="N4" s="4">
        <v>29.7</v>
      </c>
      <c r="O4" s="3">
        <f>=B4*(N4*F4/10000)*J4</f>
      </c>
    </row>
    <row r="5" spans="1:15" x14ac:dyDescent="0.25">
      <c r="A5" s="2" t="s">
        <v>735</v>
      </c>
      <c r="B5" s="4">
        <v>3</v>
      </c>
      <c r="C5" s="4" t="s">
        <v>27</v>
      </c>
      <c r="D5" s="4"/>
      <c r="E5" s="4"/>
      <c r="F5" s="4">
        <v>10</v>
      </c>
      <c r="G5" s="4" t="s">
        <v>736</v>
      </c>
      <c r="H5" s="4"/>
      <c r="I5" s="4"/>
      <c r="J5" s="4">
        <v>151.46</v>
      </c>
      <c r="K5" s="4">
        <v>7</v>
      </c>
      <c r="L5" s="4"/>
      <c r="M5" s="4" t="s">
        <v>18</v>
      </c>
      <c r="N5" s="4">
        <v>30</v>
      </c>
      <c r="O5" s="3">
        <f>=B5*(N5*F5/10000)*J5</f>
      </c>
    </row>
    <row r="6" spans="1:15" x14ac:dyDescent="0.25">
      <c r="A6" s="2" t="s">
        <v>737</v>
      </c>
      <c r="B6" s="4">
        <v>1</v>
      </c>
      <c r="C6" s="4" t="s">
        <v>27</v>
      </c>
      <c r="D6" s="4"/>
      <c r="E6" s="4"/>
      <c r="F6" s="4">
        <v>50</v>
      </c>
      <c r="G6" s="4" t="s">
        <v>738</v>
      </c>
      <c r="H6" s="4"/>
      <c r="I6" s="4"/>
      <c r="J6" s="4">
        <v>151.46</v>
      </c>
      <c r="K6" s="4">
        <v>5</v>
      </c>
      <c r="L6" s="4"/>
      <c r="M6" s="4" t="s">
        <v>18</v>
      </c>
      <c r="N6" s="4">
        <v>70</v>
      </c>
      <c r="O6" s="3">
        <f>=B6*(N6*F6/10000)*J6</f>
      </c>
    </row>
    <row r="7" spans="1:15" x14ac:dyDescent="0.25">
      <c r="A7" s="2" t="s">
        <v>739</v>
      </c>
      <c r="B7" s="4">
        <v>1</v>
      </c>
      <c r="C7" s="4"/>
      <c r="D7" s="4">
        <v>0</v>
      </c>
      <c r="E7" s="4" t="s">
        <v>102</v>
      </c>
      <c r="F7" s="4">
        <v>0</v>
      </c>
      <c r="G7" s="4" t="s">
        <v>740</v>
      </c>
      <c r="H7" s="4">
        <v>0</v>
      </c>
      <c r="I7" s="4">
        <v>0</v>
      </c>
      <c r="J7" s="4">
        <v>0</v>
      </c>
      <c r="K7" s="4">
        <v>3</v>
      </c>
      <c r="L7" s="4">
        <v>0</v>
      </c>
      <c r="M7" s="4" t="s">
        <v>18</v>
      </c>
      <c r="N7" s="4">
        <v>0</v>
      </c>
      <c r="O7" s="3">
        <f>=0</f>
      </c>
    </row>
    <row r="8" spans="1:15" x14ac:dyDescent="0.25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 t="s">
        <v>25</v>
      </c>
      <c r="O8" s="6">
        <f>=SUM(O2:O7)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741</v>
      </c>
      <c r="B2" s="4">
        <v>2</v>
      </c>
      <c r="C2" s="4" t="s">
        <v>16</v>
      </c>
      <c r="D2" s="4"/>
      <c r="E2" s="4" t="s">
        <v>742</v>
      </c>
      <c r="F2" s="4"/>
      <c r="G2" s="4" t="s">
        <v>743</v>
      </c>
      <c r="H2" s="4"/>
      <c r="I2" s="4">
        <v>63.64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25</v>
      </c>
      <c r="O3" s="6">
        <f>=SUM(O2:O2)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744</v>
      </c>
      <c r="B2" s="4">
        <v>25</v>
      </c>
      <c r="C2" s="4" t="s">
        <v>745</v>
      </c>
      <c r="D2" s="4"/>
      <c r="E2" s="4" t="s">
        <v>102</v>
      </c>
      <c r="F2" s="4"/>
      <c r="G2" s="4" t="s">
        <v>746</v>
      </c>
      <c r="H2" s="4">
        <v>6.32</v>
      </c>
      <c r="I2" s="4"/>
      <c r="J2" s="4"/>
      <c r="K2" s="4"/>
      <c r="L2" s="4"/>
      <c r="M2" s="4" t="s">
        <v>747</v>
      </c>
      <c r="N2" s="4"/>
      <c r="O2" s="3">
        <f>=B2*H2</f>
      </c>
    </row>
    <row r="3" spans="1:15" x14ac:dyDescent="0.25">
      <c r="A3" s="2" t="s">
        <v>748</v>
      </c>
      <c r="B3" s="4">
        <v>1.5</v>
      </c>
      <c r="C3" s="4" t="s">
        <v>745</v>
      </c>
      <c r="D3" s="4"/>
      <c r="E3" s="4" t="s">
        <v>102</v>
      </c>
      <c r="F3" s="4"/>
      <c r="G3" s="4" t="s">
        <v>749</v>
      </c>
      <c r="H3" s="4">
        <v>6.88</v>
      </c>
      <c r="I3" s="4"/>
      <c r="J3" s="4"/>
      <c r="K3" s="4"/>
      <c r="L3" s="4"/>
      <c r="M3" s="4" t="s">
        <v>747</v>
      </c>
      <c r="N3" s="4"/>
      <c r="O3" s="3">
        <f>=B3*H3</f>
      </c>
    </row>
    <row r="4" spans="1:15" x14ac:dyDescent="0.25">
      <c r="A4" s="2" t="s">
        <v>750</v>
      </c>
      <c r="B4" s="4">
        <v>0.75</v>
      </c>
      <c r="C4" s="4" t="s">
        <v>745</v>
      </c>
      <c r="D4" s="4"/>
      <c r="E4" s="4" t="s">
        <v>102</v>
      </c>
      <c r="F4" s="4"/>
      <c r="G4" s="4" t="s">
        <v>751</v>
      </c>
      <c r="H4" s="4">
        <v>6.88</v>
      </c>
      <c r="I4" s="4"/>
      <c r="J4" s="4"/>
      <c r="K4" s="4"/>
      <c r="L4" s="4"/>
      <c r="M4" s="4" t="s">
        <v>747</v>
      </c>
      <c r="N4" s="4"/>
      <c r="O4" s="3">
        <f>=B4*H4</f>
      </c>
    </row>
    <row r="5" spans="1:15" x14ac:dyDescent="0.25">
      <c r="A5" s="2" t="s">
        <v>752</v>
      </c>
      <c r="B5" s="4">
        <v>25</v>
      </c>
      <c r="C5" s="4" t="s">
        <v>745</v>
      </c>
      <c r="D5" s="4"/>
      <c r="E5" s="4" t="s">
        <v>102</v>
      </c>
      <c r="F5" s="4"/>
      <c r="G5" s="4" t="s">
        <v>753</v>
      </c>
      <c r="H5" s="4">
        <v>6.32</v>
      </c>
      <c r="I5" s="4"/>
      <c r="J5" s="4"/>
      <c r="K5" s="4"/>
      <c r="L5" s="4"/>
      <c r="M5" s="4" t="s">
        <v>747</v>
      </c>
      <c r="N5" s="4"/>
      <c r="O5" s="3">
        <f>=B5*H5</f>
      </c>
    </row>
    <row r="6" spans="1:15" x14ac:dyDescent="0.25">
      <c r="A6" s="2" t="s">
        <v>754</v>
      </c>
      <c r="B6" s="4">
        <v>1.25</v>
      </c>
      <c r="C6" s="4" t="s">
        <v>745</v>
      </c>
      <c r="D6" s="4"/>
      <c r="E6" s="4" t="s">
        <v>102</v>
      </c>
      <c r="F6" s="4"/>
      <c r="G6" s="4" t="s">
        <v>755</v>
      </c>
      <c r="H6" s="4">
        <v>6.88</v>
      </c>
      <c r="I6" s="4"/>
      <c r="J6" s="4"/>
      <c r="K6" s="4"/>
      <c r="L6" s="4"/>
      <c r="M6" s="4" t="s">
        <v>747</v>
      </c>
      <c r="N6" s="4"/>
      <c r="O6" s="3">
        <f>=B6*H6</f>
      </c>
    </row>
    <row r="7" spans="1:15" x14ac:dyDescent="0.25">
      <c r="A7" s="2" t="s">
        <v>756</v>
      </c>
      <c r="B7" s="4">
        <v>1.25</v>
      </c>
      <c r="C7" s="4" t="s">
        <v>745</v>
      </c>
      <c r="D7" s="4"/>
      <c r="E7" s="4" t="s">
        <v>102</v>
      </c>
      <c r="F7" s="4"/>
      <c r="G7" s="4" t="s">
        <v>757</v>
      </c>
      <c r="H7" s="4">
        <v>6.88</v>
      </c>
      <c r="I7" s="4"/>
      <c r="J7" s="4"/>
      <c r="K7" s="4"/>
      <c r="L7" s="4"/>
      <c r="M7" s="4" t="s">
        <v>747</v>
      </c>
      <c r="N7" s="4"/>
      <c r="O7" s="3">
        <f>=B7*H7</f>
      </c>
    </row>
    <row r="8" spans="1:15" x14ac:dyDescent="0.25">
      <c r="A8" s="2" t="s">
        <v>758</v>
      </c>
      <c r="B8" s="4">
        <v>0.63</v>
      </c>
      <c r="C8" s="4" t="s">
        <v>745</v>
      </c>
      <c r="D8" s="4"/>
      <c r="E8" s="4" t="s">
        <v>102</v>
      </c>
      <c r="F8" s="4"/>
      <c r="G8" s="4" t="s">
        <v>759</v>
      </c>
      <c r="H8" s="4">
        <v>6.88</v>
      </c>
      <c r="I8" s="4"/>
      <c r="J8" s="4"/>
      <c r="K8" s="4"/>
      <c r="L8" s="4"/>
      <c r="M8" s="4" t="s">
        <v>747</v>
      </c>
      <c r="N8" s="4"/>
      <c r="O8" s="3">
        <f>=B8*H8</f>
      </c>
    </row>
    <row r="9" spans="1:15" x14ac:dyDescent="0.25">
      <c r="A9" s="2" t="s">
        <v>760</v>
      </c>
      <c r="B9" s="4">
        <v>8.5</v>
      </c>
      <c r="C9" s="4" t="s">
        <v>745</v>
      </c>
      <c r="D9" s="4"/>
      <c r="E9" s="4" t="s">
        <v>102</v>
      </c>
      <c r="F9" s="4"/>
      <c r="G9" s="4" t="s">
        <v>761</v>
      </c>
      <c r="H9" s="4">
        <v>18.25</v>
      </c>
      <c r="I9" s="4"/>
      <c r="J9" s="4"/>
      <c r="K9" s="4"/>
      <c r="L9" s="4"/>
      <c r="M9" s="4" t="s">
        <v>747</v>
      </c>
      <c r="N9" s="4"/>
      <c r="O9" s="3">
        <f>=B9*H9</f>
      </c>
    </row>
    <row r="10" spans="1:15" x14ac:dyDescent="0.25">
      <c r="A10" s="2" t="s">
        <v>762</v>
      </c>
      <c r="B10" s="4">
        <v>2.8</v>
      </c>
      <c r="C10" s="4" t="s">
        <v>745</v>
      </c>
      <c r="D10" s="4"/>
      <c r="E10" s="4" t="s">
        <v>102</v>
      </c>
      <c r="F10" s="4"/>
      <c r="G10" s="4" t="s">
        <v>763</v>
      </c>
      <c r="H10" s="4">
        <v>0</v>
      </c>
      <c r="I10" s="4"/>
      <c r="J10" s="4"/>
      <c r="K10" s="4"/>
      <c r="L10" s="4"/>
      <c r="M10" s="4" t="s">
        <v>747</v>
      </c>
      <c r="N10" s="4"/>
      <c r="O10" s="3">
        <f>=B10*H10</f>
      </c>
    </row>
    <row r="11" spans="1:15" x14ac:dyDescent="0.25">
      <c r="A11" s="2" t="s">
        <v>764</v>
      </c>
      <c r="B11" s="4">
        <v>2.87</v>
      </c>
      <c r="C11" s="4"/>
      <c r="D11" s="4">
        <v>0</v>
      </c>
      <c r="E11" s="4" t="s">
        <v>102</v>
      </c>
      <c r="F11" s="4">
        <v>0</v>
      </c>
      <c r="G11" s="4" t="s">
        <v>757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 t="s">
        <v>765</v>
      </c>
      <c r="N11" s="4">
        <v>0</v>
      </c>
      <c r="O11" s="3">
        <f>=0</f>
      </c>
    </row>
    <row r="12" spans="1:15" x14ac:dyDescent="0.25">
      <c r="A12" s="2" t="s">
        <v>766</v>
      </c>
      <c r="B12" s="4">
        <v>1.71</v>
      </c>
      <c r="C12" s="4"/>
      <c r="D12" s="4">
        <v>0</v>
      </c>
      <c r="E12" s="4" t="s">
        <v>102</v>
      </c>
      <c r="F12" s="4">
        <v>0</v>
      </c>
      <c r="G12" s="4" t="s">
        <v>767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 t="s">
        <v>765</v>
      </c>
      <c r="N12" s="4">
        <v>0</v>
      </c>
      <c r="O12" s="3">
        <f>=0</f>
      </c>
    </row>
    <row r="13" spans="1:15" x14ac:dyDescent="0.25">
      <c r="A13" s="2" t="s">
        <v>768</v>
      </c>
      <c r="B13" s="4">
        <v>1.81</v>
      </c>
      <c r="C13" s="4"/>
      <c r="D13" s="4">
        <v>0</v>
      </c>
      <c r="E13" s="4" t="s">
        <v>102</v>
      </c>
      <c r="F13" s="4">
        <v>0</v>
      </c>
      <c r="G13" s="4" t="s">
        <v>767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 t="s">
        <v>765</v>
      </c>
      <c r="N13" s="4">
        <v>0</v>
      </c>
      <c r="O13" s="3">
        <f>=0</f>
      </c>
    </row>
    <row r="14" spans="1:15" x14ac:dyDescent="0.25">
      <c r="A14" s="2" t="s">
        <v>769</v>
      </c>
      <c r="B14" s="4">
        <v>0.88</v>
      </c>
      <c r="C14" s="4"/>
      <c r="D14" s="4">
        <v>0</v>
      </c>
      <c r="E14" s="4" t="s">
        <v>102</v>
      </c>
      <c r="F14" s="4">
        <v>0</v>
      </c>
      <c r="G14" s="4" t="s">
        <v>759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 t="s">
        <v>765</v>
      </c>
      <c r="N14" s="4">
        <v>0</v>
      </c>
      <c r="O14" s="3">
        <f>=0</f>
      </c>
    </row>
    <row r="15" spans="1:15" x14ac:dyDescent="0.25">
      <c r="A15" s="2" t="s">
        <v>770</v>
      </c>
      <c r="B15" s="4">
        <v>1.72</v>
      </c>
      <c r="C15" s="4"/>
      <c r="D15" s="4">
        <v>0</v>
      </c>
      <c r="E15" s="4" t="s">
        <v>102</v>
      </c>
      <c r="F15" s="4">
        <v>0</v>
      </c>
      <c r="G15" s="4" t="s">
        <v>759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 t="s">
        <v>765</v>
      </c>
      <c r="N15" s="4">
        <v>0</v>
      </c>
      <c r="O15" s="3">
        <f>=0</f>
      </c>
    </row>
    <row r="16" spans="1:15" x14ac:dyDescent="0.25">
      <c r="A16" s="2" t="s">
        <v>771</v>
      </c>
      <c r="B16" s="4">
        <v>1.03</v>
      </c>
      <c r="C16" s="4"/>
      <c r="D16" s="4">
        <v>0</v>
      </c>
      <c r="E16" s="4" t="s">
        <v>102</v>
      </c>
      <c r="F16" s="4">
        <v>0</v>
      </c>
      <c r="G16" s="4" t="s">
        <v>755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 t="s">
        <v>765</v>
      </c>
      <c r="N16" s="4">
        <v>0</v>
      </c>
      <c r="O16" s="3">
        <f>=0</f>
      </c>
    </row>
    <row r="17" spans="1:15" x14ac:dyDescent="0.25">
      <c r="A17" s="2" t="s">
        <v>772</v>
      </c>
      <c r="B17" s="4">
        <v>2.34</v>
      </c>
      <c r="C17" s="4"/>
      <c r="D17" s="4">
        <v>0</v>
      </c>
      <c r="E17" s="4" t="s">
        <v>102</v>
      </c>
      <c r="F17" s="4">
        <v>0</v>
      </c>
      <c r="G17" s="4" t="s">
        <v>773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 t="s">
        <v>102</v>
      </c>
      <c r="N17" s="4">
        <v>0</v>
      </c>
      <c r="O17" s="3">
        <f>=0</f>
      </c>
    </row>
    <row r="18" spans="1:15" x14ac:dyDescent="0.25">
      <c r="A18" s="2" t="s">
        <v>774</v>
      </c>
      <c r="B18" s="4">
        <v>2.65</v>
      </c>
      <c r="C18" s="4"/>
      <c r="D18" s="4">
        <v>0</v>
      </c>
      <c r="E18" s="4" t="s">
        <v>102</v>
      </c>
      <c r="F18" s="4">
        <v>0</v>
      </c>
      <c r="G18" s="4" t="s">
        <v>775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 t="s">
        <v>765</v>
      </c>
      <c r="N18" s="4">
        <v>0</v>
      </c>
      <c r="O18" s="3">
        <f>=0</f>
      </c>
    </row>
    <row r="19" spans="1:15" x14ac:dyDescent="0.25">
      <c r="A19" s="2" t="s">
        <v>776</v>
      </c>
      <c r="B19" s="4">
        <v>1.5</v>
      </c>
      <c r="C19" s="4"/>
      <c r="D19" s="4">
        <v>0</v>
      </c>
      <c r="E19" s="4" t="s">
        <v>102</v>
      </c>
      <c r="F19" s="4">
        <v>0</v>
      </c>
      <c r="G19" s="4" t="s">
        <v>775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 t="s">
        <v>765</v>
      </c>
      <c r="N19" s="4">
        <v>0</v>
      </c>
      <c r="O19" s="3">
        <f>=0</f>
      </c>
    </row>
    <row r="20" spans="1:15" x14ac:dyDescent="0.25">
      <c r="A20" s="2" t="s">
        <v>777</v>
      </c>
      <c r="B20" s="4">
        <v>1.25</v>
      </c>
      <c r="C20" s="4"/>
      <c r="D20" s="4">
        <v>0</v>
      </c>
      <c r="E20" s="4" t="s">
        <v>102</v>
      </c>
      <c r="F20" s="4">
        <v>0</v>
      </c>
      <c r="G20" s="4" t="s">
        <v>775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 t="s">
        <v>765</v>
      </c>
      <c r="N20" s="4">
        <v>0</v>
      </c>
      <c r="O20" s="3">
        <f>=0</f>
      </c>
    </row>
    <row r="21" spans="1:15" x14ac:dyDescent="0.25">
      <c r="A21" s="2" t="s">
        <v>778</v>
      </c>
      <c r="B21" s="4">
        <v>0.81</v>
      </c>
      <c r="C21" s="4"/>
      <c r="D21" s="4">
        <v>0</v>
      </c>
      <c r="E21" s="4" t="s">
        <v>102</v>
      </c>
      <c r="F21" s="4">
        <v>0</v>
      </c>
      <c r="G21" s="4" t="s">
        <v>779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 t="s">
        <v>765</v>
      </c>
      <c r="N21" s="4">
        <v>0</v>
      </c>
      <c r="O21" s="3">
        <f>=0</f>
      </c>
    </row>
    <row r="22" spans="1:15" x14ac:dyDescent="0.25">
      <c r="A22" s="2" t="s">
        <v>780</v>
      </c>
      <c r="B22" s="4">
        <v>0.86</v>
      </c>
      <c r="C22" s="4"/>
      <c r="D22" s="4">
        <v>0</v>
      </c>
      <c r="E22" s="4" t="s">
        <v>102</v>
      </c>
      <c r="F22" s="4">
        <v>0</v>
      </c>
      <c r="G22" s="4" t="s">
        <v>779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 t="s">
        <v>765</v>
      </c>
      <c r="N22" s="4">
        <v>0</v>
      </c>
      <c r="O22" s="3">
        <f>=0</f>
      </c>
    </row>
    <row r="23" spans="1:15" x14ac:dyDescent="0.25">
      <c r="A23" s="2" t="s">
        <v>781</v>
      </c>
      <c r="B23" s="4">
        <v>4.3</v>
      </c>
      <c r="C23" s="4"/>
      <c r="D23" s="4">
        <v>0</v>
      </c>
      <c r="E23" s="4" t="s">
        <v>102</v>
      </c>
      <c r="F23" s="4">
        <v>0</v>
      </c>
      <c r="G23" s="4" t="s">
        <v>782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 t="s">
        <v>765</v>
      </c>
      <c r="N23" s="4">
        <v>0</v>
      </c>
      <c r="O23" s="3">
        <f>=0</f>
      </c>
    </row>
    <row r="24" spans="1:15" x14ac:dyDescent="0.25">
      <c r="A24" s="2" t="s">
        <v>783</v>
      </c>
      <c r="B24" s="4">
        <v>1.62</v>
      </c>
      <c r="C24" s="4"/>
      <c r="D24" s="4">
        <v>0</v>
      </c>
      <c r="E24" s="4" t="s">
        <v>102</v>
      </c>
      <c r="F24" s="4">
        <v>0</v>
      </c>
      <c r="G24" s="4" t="s">
        <v>784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 t="s">
        <v>765</v>
      </c>
      <c r="N24" s="4">
        <v>0</v>
      </c>
      <c r="O24" s="3">
        <f>=0</f>
      </c>
    </row>
    <row r="25" spans="1:15" x14ac:dyDescent="0.25">
      <c r="A25" s="2" t="s">
        <v>785</v>
      </c>
      <c r="B25" s="4">
        <v>25</v>
      </c>
      <c r="C25" s="4"/>
      <c r="D25" s="4">
        <v>0</v>
      </c>
      <c r="E25" s="4" t="s">
        <v>102</v>
      </c>
      <c r="F25" s="4">
        <v>0</v>
      </c>
      <c r="G25" s="4" t="s">
        <v>786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 t="s">
        <v>102</v>
      </c>
      <c r="N25" s="4">
        <v>0</v>
      </c>
      <c r="O25" s="3">
        <f>=0</f>
      </c>
    </row>
    <row r="26" spans="1:15" x14ac:dyDescent="0.25">
      <c r="A26" s="2" t="s">
        <v>787</v>
      </c>
      <c r="B26" s="4">
        <v>25</v>
      </c>
      <c r="C26" s="4"/>
      <c r="D26" s="4">
        <v>0</v>
      </c>
      <c r="E26" s="4" t="s">
        <v>102</v>
      </c>
      <c r="F26" s="4">
        <v>0</v>
      </c>
      <c r="G26" s="4" t="s">
        <v>788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 t="s">
        <v>102</v>
      </c>
      <c r="N26" s="4">
        <v>0</v>
      </c>
      <c r="O26" s="3">
        <f>=0</f>
      </c>
    </row>
    <row r="27" spans="1:15" x14ac:dyDescent="0.25">
      <c r="A27" s="2" t="s">
        <v>789</v>
      </c>
      <c r="B27" s="4">
        <v>25</v>
      </c>
      <c r="C27" s="4"/>
      <c r="D27" s="4">
        <v>0</v>
      </c>
      <c r="E27" s="4" t="s">
        <v>102</v>
      </c>
      <c r="F27" s="4">
        <v>0</v>
      </c>
      <c r="G27" s="4" t="s">
        <v>784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 t="s">
        <v>102</v>
      </c>
      <c r="N27" s="4">
        <v>0</v>
      </c>
      <c r="O27" s="3">
        <f>=0</f>
      </c>
    </row>
    <row r="28" spans="1:15" x14ac:dyDescent="0.25">
      <c r="A28" s="2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5" t="s">
        <v>25</v>
      </c>
      <c r="O28" s="6">
        <f>=SUM(O2:O27)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790</v>
      </c>
      <c r="B2" s="4">
        <v>1.4</v>
      </c>
      <c r="C2" s="4" t="s">
        <v>745</v>
      </c>
      <c r="D2" s="4"/>
      <c r="E2" s="4"/>
      <c r="F2" s="4"/>
      <c r="G2" s="4" t="s">
        <v>791</v>
      </c>
      <c r="H2" s="4">
        <v>18.65</v>
      </c>
      <c r="I2" s="4"/>
      <c r="J2" s="4"/>
      <c r="K2" s="4"/>
      <c r="L2" s="4"/>
      <c r="M2" s="4" t="s">
        <v>747</v>
      </c>
      <c r="N2" s="4"/>
      <c r="O2" s="3">
        <f>=B2*H2</f>
      </c>
    </row>
    <row r="3" spans="1:15" x14ac:dyDescent="0.25">
      <c r="A3" s="2" t="s">
        <v>792</v>
      </c>
      <c r="B3" s="4">
        <v>3</v>
      </c>
      <c r="C3" s="4" t="s">
        <v>745</v>
      </c>
      <c r="D3" s="4"/>
      <c r="E3" s="4"/>
      <c r="F3" s="4"/>
      <c r="G3" s="4" t="s">
        <v>793</v>
      </c>
      <c r="H3" s="4">
        <v>17.49</v>
      </c>
      <c r="I3" s="4"/>
      <c r="J3" s="4"/>
      <c r="K3" s="4"/>
      <c r="L3" s="4"/>
      <c r="M3" s="4" t="s">
        <v>747</v>
      </c>
      <c r="N3" s="4"/>
      <c r="O3" s="3">
        <f>=B3*H3</f>
      </c>
    </row>
    <row r="4" spans="1:15" x14ac:dyDescent="0.25">
      <c r="A4" s="2" t="s">
        <v>794</v>
      </c>
      <c r="B4" s="4">
        <v>0.93</v>
      </c>
      <c r="C4" s="4" t="s">
        <v>745</v>
      </c>
      <c r="D4" s="4"/>
      <c r="E4" s="4"/>
      <c r="F4" s="4"/>
      <c r="G4" s="4" t="s">
        <v>795</v>
      </c>
      <c r="H4" s="4">
        <v>18.65</v>
      </c>
      <c r="I4" s="4"/>
      <c r="J4" s="4"/>
      <c r="K4" s="4"/>
      <c r="L4" s="4"/>
      <c r="M4" s="4" t="s">
        <v>747</v>
      </c>
      <c r="N4" s="4"/>
      <c r="O4" s="3">
        <f>=B4*H4</f>
      </c>
    </row>
    <row r="5" spans="1:15" x14ac:dyDescent="0.25">
      <c r="A5" s="2" t="s">
        <v>796</v>
      </c>
      <c r="B5" s="4">
        <v>1.2</v>
      </c>
      <c r="C5" s="4" t="s">
        <v>745</v>
      </c>
      <c r="D5" s="4"/>
      <c r="E5" s="4"/>
      <c r="F5" s="4"/>
      <c r="G5" s="4" t="s">
        <v>795</v>
      </c>
      <c r="H5" s="4">
        <v>18.65</v>
      </c>
      <c r="I5" s="4"/>
      <c r="J5" s="4"/>
      <c r="K5" s="4"/>
      <c r="L5" s="4"/>
      <c r="M5" s="4" t="s">
        <v>747</v>
      </c>
      <c r="N5" s="4"/>
      <c r="O5" s="3">
        <f>=B5*H5</f>
      </c>
    </row>
    <row r="6" spans="1:15" x14ac:dyDescent="0.25">
      <c r="A6" s="2" t="s">
        <v>797</v>
      </c>
      <c r="B6" s="4">
        <v>1.4</v>
      </c>
      <c r="C6" s="4" t="s">
        <v>745</v>
      </c>
      <c r="D6" s="4"/>
      <c r="E6" s="4"/>
      <c r="F6" s="4"/>
      <c r="G6" s="4" t="s">
        <v>798</v>
      </c>
      <c r="H6" s="4">
        <v>24.13</v>
      </c>
      <c r="I6" s="4"/>
      <c r="J6" s="4"/>
      <c r="K6" s="4"/>
      <c r="L6" s="4"/>
      <c r="M6" s="4" t="s">
        <v>747</v>
      </c>
      <c r="N6" s="4"/>
      <c r="O6" s="3">
        <f>=B6*H6</f>
      </c>
    </row>
    <row r="7" spans="1:15" x14ac:dyDescent="0.25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 t="s">
        <v>25</v>
      </c>
      <c r="O7" s="6">
        <f>=SUM(O2:O6)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799</v>
      </c>
      <c r="B2" s="4">
        <v>3</v>
      </c>
      <c r="C2" s="4" t="s">
        <v>745</v>
      </c>
      <c r="D2" s="4"/>
      <c r="E2" s="4"/>
      <c r="F2" s="4"/>
      <c r="G2" s="4" t="s">
        <v>800</v>
      </c>
      <c r="H2" s="4">
        <v>12.5</v>
      </c>
      <c r="I2" s="4"/>
      <c r="J2" s="4"/>
      <c r="K2" s="4"/>
      <c r="L2" s="4"/>
      <c r="M2" s="4" t="s">
        <v>747</v>
      </c>
      <c r="N2" s="4"/>
      <c r="O2" s="3">
        <f>=B2*H2</f>
      </c>
    </row>
    <row r="3" spans="1:15" x14ac:dyDescent="0.25">
      <c r="A3" s="2" t="s">
        <v>801</v>
      </c>
      <c r="B3" s="4">
        <v>0.4</v>
      </c>
      <c r="C3" s="4" t="s">
        <v>745</v>
      </c>
      <c r="D3" s="4"/>
      <c r="E3" s="4"/>
      <c r="F3" s="4"/>
      <c r="G3" s="4" t="s">
        <v>802</v>
      </c>
      <c r="H3" s="4">
        <v>6.21</v>
      </c>
      <c r="I3" s="4"/>
      <c r="J3" s="4"/>
      <c r="K3" s="4"/>
      <c r="L3" s="4"/>
      <c r="M3" s="4" t="s">
        <v>747</v>
      </c>
      <c r="N3" s="4"/>
      <c r="O3" s="3">
        <f>=B3*H3</f>
      </c>
    </row>
    <row r="4" spans="1:15" x14ac:dyDescent="0.25">
      <c r="A4" s="2" t="s">
        <v>803</v>
      </c>
      <c r="B4" s="4">
        <v>0.5</v>
      </c>
      <c r="C4" s="4" t="s">
        <v>745</v>
      </c>
      <c r="D4" s="4"/>
      <c r="E4" s="4"/>
      <c r="F4" s="4"/>
      <c r="G4" s="4" t="s">
        <v>804</v>
      </c>
      <c r="H4" s="4">
        <v>6.21</v>
      </c>
      <c r="I4" s="4"/>
      <c r="J4" s="4"/>
      <c r="K4" s="4"/>
      <c r="L4" s="4"/>
      <c r="M4" s="4" t="s">
        <v>747</v>
      </c>
      <c r="N4" s="4"/>
      <c r="O4" s="3">
        <f>=B4*H4</f>
      </c>
    </row>
    <row r="5" spans="1:15" x14ac:dyDescent="0.25">
      <c r="A5" s="2" t="s">
        <v>805</v>
      </c>
      <c r="B5" s="4">
        <v>0.7</v>
      </c>
      <c r="C5" s="4" t="s">
        <v>745</v>
      </c>
      <c r="D5" s="4"/>
      <c r="E5" s="4"/>
      <c r="F5" s="4"/>
      <c r="G5" s="4" t="s">
        <v>806</v>
      </c>
      <c r="H5" s="4">
        <v>6.21</v>
      </c>
      <c r="I5" s="4"/>
      <c r="J5" s="4"/>
      <c r="K5" s="4"/>
      <c r="L5" s="4"/>
      <c r="M5" s="4" t="s">
        <v>747</v>
      </c>
      <c r="N5" s="4"/>
      <c r="O5" s="3">
        <f>=B5*H5</f>
      </c>
    </row>
    <row r="6" spans="1:15" x14ac:dyDescent="0.25">
      <c r="A6" s="2" t="s">
        <v>807</v>
      </c>
      <c r="B6" s="4">
        <v>0.65</v>
      </c>
      <c r="C6" s="4" t="s">
        <v>745</v>
      </c>
      <c r="D6" s="4"/>
      <c r="E6" s="4"/>
      <c r="F6" s="4"/>
      <c r="G6" s="4" t="s">
        <v>808</v>
      </c>
      <c r="H6" s="4">
        <v>6.21</v>
      </c>
      <c r="I6" s="4"/>
      <c r="J6" s="4"/>
      <c r="K6" s="4"/>
      <c r="L6" s="4"/>
      <c r="M6" s="4" t="s">
        <v>747</v>
      </c>
      <c r="N6" s="4"/>
      <c r="O6" s="3">
        <f>=B6*H6</f>
      </c>
    </row>
    <row r="7" spans="1:15" x14ac:dyDescent="0.25">
      <c r="A7" s="2" t="s">
        <v>809</v>
      </c>
      <c r="B7" s="4">
        <v>6</v>
      </c>
      <c r="C7" s="4" t="s">
        <v>745</v>
      </c>
      <c r="D7" s="4"/>
      <c r="E7" s="4"/>
      <c r="F7" s="4"/>
      <c r="G7" s="4" t="s">
        <v>808</v>
      </c>
      <c r="H7" s="4">
        <v>6.21</v>
      </c>
      <c r="I7" s="4"/>
      <c r="J7" s="4"/>
      <c r="K7" s="4"/>
      <c r="L7" s="4"/>
      <c r="M7" s="4" t="s">
        <v>747</v>
      </c>
      <c r="N7" s="4"/>
      <c r="O7" s="3">
        <f>=B7*H7</f>
      </c>
    </row>
    <row r="8" spans="1:15" x14ac:dyDescent="0.25">
      <c r="A8" s="2" t="s">
        <v>810</v>
      </c>
      <c r="B8" s="4">
        <v>2</v>
      </c>
      <c r="C8" s="4" t="s">
        <v>745</v>
      </c>
      <c r="D8" s="4"/>
      <c r="E8" s="4"/>
      <c r="F8" s="4"/>
      <c r="G8" s="4" t="s">
        <v>811</v>
      </c>
      <c r="H8" s="4">
        <v>12.1</v>
      </c>
      <c r="I8" s="4"/>
      <c r="J8" s="4"/>
      <c r="K8" s="4"/>
      <c r="L8" s="4"/>
      <c r="M8" s="4" t="s">
        <v>747</v>
      </c>
      <c r="N8" s="4"/>
      <c r="O8" s="3">
        <f>=B8*H8</f>
      </c>
    </row>
    <row r="9" spans="1:15" x14ac:dyDescent="0.25">
      <c r="A9" s="2" t="s">
        <v>812</v>
      </c>
      <c r="B9" s="4">
        <v>4</v>
      </c>
      <c r="C9" s="4" t="s">
        <v>745</v>
      </c>
      <c r="D9" s="4"/>
      <c r="E9" s="4"/>
      <c r="F9" s="4"/>
      <c r="G9" s="4" t="s">
        <v>813</v>
      </c>
      <c r="H9" s="4">
        <v>6.21</v>
      </c>
      <c r="I9" s="4"/>
      <c r="J9" s="4"/>
      <c r="K9" s="4"/>
      <c r="L9" s="4"/>
      <c r="M9" s="4" t="s">
        <v>747</v>
      </c>
      <c r="N9" s="4"/>
      <c r="O9" s="3">
        <f>=B9*H9</f>
      </c>
    </row>
    <row r="10" spans="1:15" x14ac:dyDescent="0.25">
      <c r="A10" s="2" t="s">
        <v>814</v>
      </c>
      <c r="B10" s="4">
        <v>5</v>
      </c>
      <c r="C10" s="4" t="s">
        <v>745</v>
      </c>
      <c r="D10" s="4"/>
      <c r="E10" s="4"/>
      <c r="F10" s="4"/>
      <c r="G10" s="4" t="s">
        <v>815</v>
      </c>
      <c r="H10" s="4">
        <v>6.21</v>
      </c>
      <c r="I10" s="4"/>
      <c r="J10" s="4"/>
      <c r="K10" s="4"/>
      <c r="L10" s="4"/>
      <c r="M10" s="4" t="s">
        <v>747</v>
      </c>
      <c r="N10" s="4"/>
      <c r="O10" s="3">
        <f>=B10*H10</f>
      </c>
    </row>
    <row r="11" spans="1:15" x14ac:dyDescent="0.25">
      <c r="A11" s="2" t="s">
        <v>816</v>
      </c>
      <c r="B11" s="4">
        <v>3</v>
      </c>
      <c r="C11" s="4" t="s">
        <v>745</v>
      </c>
      <c r="D11" s="4"/>
      <c r="E11" s="4"/>
      <c r="F11" s="4"/>
      <c r="G11" s="4" t="s">
        <v>817</v>
      </c>
      <c r="H11" s="4">
        <v>7.1</v>
      </c>
      <c r="I11" s="4"/>
      <c r="J11" s="4"/>
      <c r="K11" s="4"/>
      <c r="L11" s="4"/>
      <c r="M11" s="4" t="s">
        <v>747</v>
      </c>
      <c r="N11" s="4"/>
      <c r="O11" s="3">
        <f>=B11*H11</f>
      </c>
    </row>
    <row r="12" spans="1:15" x14ac:dyDescent="0.25">
      <c r="A12" s="2" t="s">
        <v>818</v>
      </c>
      <c r="B12" s="4">
        <v>4</v>
      </c>
      <c r="C12" s="4" t="s">
        <v>745</v>
      </c>
      <c r="D12" s="4"/>
      <c r="E12" s="4"/>
      <c r="F12" s="4"/>
      <c r="G12" s="4" t="s">
        <v>819</v>
      </c>
      <c r="H12" s="4">
        <v>6.21</v>
      </c>
      <c r="I12" s="4"/>
      <c r="J12" s="4"/>
      <c r="K12" s="4"/>
      <c r="L12" s="4"/>
      <c r="M12" s="4" t="s">
        <v>747</v>
      </c>
      <c r="N12" s="4"/>
      <c r="O12" s="3">
        <f>=B12*H12</f>
      </c>
    </row>
    <row r="13" spans="1:15" x14ac:dyDescent="0.25">
      <c r="A13" s="2" t="s">
        <v>820</v>
      </c>
      <c r="B13" s="4">
        <v>2</v>
      </c>
      <c r="C13" s="4" t="s">
        <v>745</v>
      </c>
      <c r="D13" s="4"/>
      <c r="E13" s="4"/>
      <c r="F13" s="4"/>
      <c r="G13" s="4" t="s">
        <v>821</v>
      </c>
      <c r="H13" s="4">
        <v>6.21</v>
      </c>
      <c r="I13" s="4"/>
      <c r="J13" s="4"/>
      <c r="K13" s="4"/>
      <c r="L13" s="4"/>
      <c r="M13" s="4" t="s">
        <v>747</v>
      </c>
      <c r="N13" s="4"/>
      <c r="O13" s="3">
        <f>=B13*H13</f>
      </c>
    </row>
    <row r="14" spans="1:15" x14ac:dyDescent="0.25">
      <c r="A14" s="2" t="s">
        <v>822</v>
      </c>
      <c r="B14" s="4">
        <v>1.9</v>
      </c>
      <c r="C14" s="4" t="s">
        <v>745</v>
      </c>
      <c r="D14" s="4"/>
      <c r="E14" s="4"/>
      <c r="F14" s="4"/>
      <c r="G14" s="4" t="s">
        <v>823</v>
      </c>
      <c r="H14" s="4">
        <v>9.52</v>
      </c>
      <c r="I14" s="4"/>
      <c r="J14" s="4"/>
      <c r="K14" s="4"/>
      <c r="L14" s="4"/>
      <c r="M14" s="4" t="s">
        <v>747</v>
      </c>
      <c r="N14" s="4"/>
      <c r="O14" s="3">
        <f>=B14*H14</f>
      </c>
    </row>
    <row r="15" spans="1:15" x14ac:dyDescent="0.25">
      <c r="A15" s="2" t="s">
        <v>824</v>
      </c>
      <c r="B15" s="4">
        <v>23.5</v>
      </c>
      <c r="C15" s="4" t="s">
        <v>745</v>
      </c>
      <c r="D15" s="4"/>
      <c r="E15" s="4"/>
      <c r="F15" s="4"/>
      <c r="G15" s="4" t="s">
        <v>825</v>
      </c>
      <c r="H15" s="4">
        <v>6.62</v>
      </c>
      <c r="I15" s="4"/>
      <c r="J15" s="4"/>
      <c r="K15" s="4"/>
      <c r="L15" s="4"/>
      <c r="M15" s="4" t="s">
        <v>747</v>
      </c>
      <c r="N15" s="4"/>
      <c r="O15" s="3">
        <f>=B15*H15</f>
      </c>
    </row>
    <row r="16" spans="1:15" x14ac:dyDescent="0.25">
      <c r="A16" s="2" t="s">
        <v>826</v>
      </c>
      <c r="B16" s="4">
        <v>22</v>
      </c>
      <c r="C16" s="4" t="s">
        <v>745</v>
      </c>
      <c r="D16" s="4"/>
      <c r="E16" s="4"/>
      <c r="F16" s="4"/>
      <c r="G16" s="4" t="s">
        <v>827</v>
      </c>
      <c r="H16" s="4">
        <v>6.21</v>
      </c>
      <c r="I16" s="4"/>
      <c r="J16" s="4"/>
      <c r="K16" s="4"/>
      <c r="L16" s="4"/>
      <c r="M16" s="4" t="s">
        <v>747</v>
      </c>
      <c r="N16" s="4"/>
      <c r="O16" s="3">
        <f>=B16*H16</f>
      </c>
    </row>
    <row r="17" spans="1:15" x14ac:dyDescent="0.25">
      <c r="A17" s="2" t="s">
        <v>828</v>
      </c>
      <c r="B17" s="4">
        <v>1.5</v>
      </c>
      <c r="C17" s="4" t="s">
        <v>745</v>
      </c>
      <c r="D17" s="4"/>
      <c r="E17" s="4"/>
      <c r="F17" s="4"/>
      <c r="G17" s="4" t="s">
        <v>829</v>
      </c>
      <c r="H17" s="4">
        <v>6.21</v>
      </c>
      <c r="I17" s="4"/>
      <c r="J17" s="4"/>
      <c r="K17" s="4"/>
      <c r="L17" s="4"/>
      <c r="M17" s="4" t="s">
        <v>747</v>
      </c>
      <c r="N17" s="4"/>
      <c r="O17" s="3">
        <f>=B17*H17</f>
      </c>
    </row>
    <row r="18" spans="1:15" x14ac:dyDescent="0.25">
      <c r="A18" s="2" t="s">
        <v>830</v>
      </c>
      <c r="B18" s="4">
        <v>2</v>
      </c>
      <c r="C18" s="4" t="s">
        <v>745</v>
      </c>
      <c r="D18" s="4"/>
      <c r="E18" s="4"/>
      <c r="F18" s="4"/>
      <c r="G18" s="4" t="s">
        <v>831</v>
      </c>
      <c r="H18" s="4">
        <v>6.21</v>
      </c>
      <c r="I18" s="4"/>
      <c r="J18" s="4"/>
      <c r="K18" s="4"/>
      <c r="L18" s="4"/>
      <c r="M18" s="4" t="s">
        <v>747</v>
      </c>
      <c r="N18" s="4"/>
      <c r="O18" s="3">
        <f>=B18*H18</f>
      </c>
    </row>
    <row r="19" spans="1:15" x14ac:dyDescent="0.25">
      <c r="A19" s="2" t="s">
        <v>832</v>
      </c>
      <c r="B19" s="4">
        <v>0.7</v>
      </c>
      <c r="C19" s="4" t="s">
        <v>745</v>
      </c>
      <c r="D19" s="4"/>
      <c r="E19" s="4"/>
      <c r="F19" s="4"/>
      <c r="G19" s="4" t="s">
        <v>833</v>
      </c>
      <c r="H19" s="4">
        <v>6.21</v>
      </c>
      <c r="I19" s="4"/>
      <c r="J19" s="4"/>
      <c r="K19" s="4"/>
      <c r="L19" s="4"/>
      <c r="M19" s="4" t="s">
        <v>747</v>
      </c>
      <c r="N19" s="4"/>
      <c r="O19" s="3">
        <f>=B19*H19</f>
      </c>
    </row>
    <row r="20" spans="1:15" x14ac:dyDescent="0.25">
      <c r="A20" s="2" t="s">
        <v>834</v>
      </c>
      <c r="B20" s="4">
        <v>7</v>
      </c>
      <c r="C20" s="4" t="s">
        <v>745</v>
      </c>
      <c r="D20" s="4"/>
      <c r="E20" s="4"/>
      <c r="F20" s="4"/>
      <c r="G20" s="4" t="s">
        <v>835</v>
      </c>
      <c r="H20" s="4">
        <v>6.21</v>
      </c>
      <c r="I20" s="4"/>
      <c r="J20" s="4"/>
      <c r="K20" s="4"/>
      <c r="L20" s="4"/>
      <c r="M20" s="4" t="s">
        <v>747</v>
      </c>
      <c r="N20" s="4"/>
      <c r="O20" s="3">
        <f>=B20*H20</f>
      </c>
    </row>
    <row r="21" spans="1:15" x14ac:dyDescent="0.25">
      <c r="A21" s="2" t="s">
        <v>836</v>
      </c>
      <c r="B21" s="4">
        <v>5</v>
      </c>
      <c r="C21" s="4" t="s">
        <v>745</v>
      </c>
      <c r="D21" s="4"/>
      <c r="E21" s="4"/>
      <c r="F21" s="4"/>
      <c r="G21" s="4" t="s">
        <v>837</v>
      </c>
      <c r="H21" s="4">
        <v>6.21</v>
      </c>
      <c r="I21" s="4"/>
      <c r="J21" s="4"/>
      <c r="K21" s="4"/>
      <c r="L21" s="4"/>
      <c r="M21" s="4" t="s">
        <v>747</v>
      </c>
      <c r="N21" s="4"/>
      <c r="O21" s="3">
        <f>=B21*H21</f>
      </c>
    </row>
    <row r="22" spans="1:15" x14ac:dyDescent="0.25">
      <c r="A22" s="2" t="s">
        <v>838</v>
      </c>
      <c r="B22" s="4">
        <v>0.9</v>
      </c>
      <c r="C22" s="4" t="s">
        <v>745</v>
      </c>
      <c r="D22" s="4"/>
      <c r="E22" s="4"/>
      <c r="F22" s="4"/>
      <c r="G22" s="4" t="s">
        <v>839</v>
      </c>
      <c r="H22" s="4">
        <v>10.41</v>
      </c>
      <c r="I22" s="4"/>
      <c r="J22" s="4"/>
      <c r="K22" s="4"/>
      <c r="L22" s="4"/>
      <c r="M22" s="4" t="s">
        <v>747</v>
      </c>
      <c r="N22" s="4"/>
      <c r="O22" s="3">
        <f>=B22*H22</f>
      </c>
    </row>
    <row r="23" spans="1:15" x14ac:dyDescent="0.25">
      <c r="A23" s="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 t="s">
        <v>25</v>
      </c>
      <c r="O23" s="6">
        <f>=SUM(O2:O22)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22" customWidth="1"/>
    <col min="4" max="5" width="10" customWidth="1"/>
    <col min="6" max="6" width="11" customWidth="1"/>
    <col min="7" max="7" width="3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0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840</v>
      </c>
      <c r="B2" s="4">
        <v>5.3</v>
      </c>
      <c r="C2" s="4" t="s">
        <v>841</v>
      </c>
      <c r="D2" s="4"/>
      <c r="E2" s="4"/>
      <c r="F2" s="4"/>
      <c r="G2" s="4" t="s">
        <v>842</v>
      </c>
      <c r="H2" s="4"/>
      <c r="I2" s="4"/>
      <c r="J2" s="4">
        <v>4.14</v>
      </c>
      <c r="K2" s="4"/>
      <c r="L2" s="4"/>
      <c r="M2" s="4" t="s">
        <v>747</v>
      </c>
      <c r="N2" s="4">
        <v>137</v>
      </c>
      <c r="O2" s="3">
        <f>=B2*(N2/100)*J2</f>
      </c>
    </row>
    <row r="3" spans="1:15" x14ac:dyDescent="0.25">
      <c r="A3" s="2" t="s">
        <v>843</v>
      </c>
      <c r="B3" s="4">
        <v>20.8</v>
      </c>
      <c r="C3" s="4" t="s">
        <v>841</v>
      </c>
      <c r="D3" s="4"/>
      <c r="E3" s="4"/>
      <c r="F3" s="4"/>
      <c r="G3" s="4" t="s">
        <v>844</v>
      </c>
      <c r="H3" s="4"/>
      <c r="I3" s="4"/>
      <c r="J3" s="4">
        <v>4.14</v>
      </c>
      <c r="K3" s="4"/>
      <c r="L3" s="4"/>
      <c r="M3" s="4" t="s">
        <v>747</v>
      </c>
      <c r="N3" s="4">
        <v>160</v>
      </c>
      <c r="O3" s="3">
        <f>=B3*(N3/100)*J3</f>
      </c>
    </row>
    <row r="4" spans="1:15" x14ac:dyDescent="0.25">
      <c r="A4" s="2" t="s">
        <v>845</v>
      </c>
      <c r="B4" s="4">
        <v>2</v>
      </c>
      <c r="C4" s="4" t="s">
        <v>841</v>
      </c>
      <c r="D4" s="4"/>
      <c r="E4" s="4"/>
      <c r="F4" s="4"/>
      <c r="G4" s="4" t="s">
        <v>846</v>
      </c>
      <c r="H4" s="4"/>
      <c r="I4" s="4"/>
      <c r="J4" s="4">
        <v>5.01</v>
      </c>
      <c r="K4" s="4"/>
      <c r="L4" s="4"/>
      <c r="M4" s="4" t="s">
        <v>747</v>
      </c>
      <c r="N4" s="4">
        <v>137</v>
      </c>
      <c r="O4" s="3">
        <f>=B4*(N4/100)*J4</f>
      </c>
    </row>
    <row r="5" spans="1:15" x14ac:dyDescent="0.25">
      <c r="A5" s="2" t="s">
        <v>847</v>
      </c>
      <c r="B5" s="4">
        <v>10</v>
      </c>
      <c r="C5" s="4" t="s">
        <v>841</v>
      </c>
      <c r="D5" s="4"/>
      <c r="E5" s="4"/>
      <c r="F5" s="4"/>
      <c r="G5" s="4" t="s">
        <v>848</v>
      </c>
      <c r="H5" s="4"/>
      <c r="I5" s="4"/>
      <c r="J5" s="4">
        <v>5.1</v>
      </c>
      <c r="K5" s="4"/>
      <c r="L5" s="4"/>
      <c r="M5" s="4" t="s">
        <v>747</v>
      </c>
      <c r="N5" s="4">
        <v>137</v>
      </c>
      <c r="O5" s="3">
        <f>=B5*(N5/100)*J5</f>
      </c>
    </row>
    <row r="6" spans="1:15" x14ac:dyDescent="0.25">
      <c r="A6" s="2" t="s">
        <v>849</v>
      </c>
      <c r="B6" s="4">
        <v>0</v>
      </c>
      <c r="C6" s="4" t="s">
        <v>841</v>
      </c>
      <c r="D6" s="4"/>
      <c r="E6" s="4"/>
      <c r="F6" s="4"/>
      <c r="G6" s="4" t="s">
        <v>850</v>
      </c>
      <c r="H6" s="4"/>
      <c r="I6" s="4"/>
      <c r="J6" s="4"/>
      <c r="K6" s="4"/>
      <c r="L6" s="4"/>
      <c r="M6" s="4" t="s">
        <v>747</v>
      </c>
      <c r="N6" s="4">
        <v>137</v>
      </c>
      <c r="O6" s="3">
        <f>=B6*(N6/100)*J6</f>
      </c>
    </row>
    <row r="7" spans="1:15" x14ac:dyDescent="0.25">
      <c r="A7" s="2" t="s">
        <v>851</v>
      </c>
      <c r="B7" s="4">
        <v>50</v>
      </c>
      <c r="C7" s="4" t="s">
        <v>841</v>
      </c>
      <c r="D7" s="4"/>
      <c r="E7" s="4"/>
      <c r="F7" s="4"/>
      <c r="G7" s="4" t="s">
        <v>852</v>
      </c>
      <c r="H7" s="4"/>
      <c r="I7" s="4"/>
      <c r="J7" s="4">
        <v>4.57</v>
      </c>
      <c r="K7" s="4"/>
      <c r="L7" s="4"/>
      <c r="M7" s="4" t="s">
        <v>747</v>
      </c>
      <c r="N7" s="4">
        <v>137</v>
      </c>
      <c r="O7" s="3">
        <f>=B7*(N7/100)*J7</f>
      </c>
    </row>
    <row r="8" spans="1:15" x14ac:dyDescent="0.25">
      <c r="A8" s="2" t="s">
        <v>853</v>
      </c>
      <c r="B8" s="4">
        <v>24</v>
      </c>
      <c r="C8" s="4" t="s">
        <v>841</v>
      </c>
      <c r="D8" s="4"/>
      <c r="E8" s="4"/>
      <c r="F8" s="4"/>
      <c r="G8" s="4" t="s">
        <v>854</v>
      </c>
      <c r="H8" s="4"/>
      <c r="I8" s="4"/>
      <c r="J8" s="4">
        <v>4.57</v>
      </c>
      <c r="K8" s="4"/>
      <c r="L8" s="4"/>
      <c r="M8" s="4" t="s">
        <v>747</v>
      </c>
      <c r="N8" s="4">
        <v>150</v>
      </c>
      <c r="O8" s="3">
        <f>=B8*(N8/100)*J8</f>
      </c>
    </row>
    <row r="9" spans="1:15" x14ac:dyDescent="0.25">
      <c r="A9" s="2" t="s">
        <v>855</v>
      </c>
      <c r="B9" s="4">
        <v>0</v>
      </c>
      <c r="C9" s="4" t="s">
        <v>841</v>
      </c>
      <c r="D9" s="4"/>
      <c r="E9" s="4"/>
      <c r="F9" s="4"/>
      <c r="G9" s="4" t="s">
        <v>856</v>
      </c>
      <c r="H9" s="4"/>
      <c r="I9" s="4"/>
      <c r="J9" s="4">
        <v>1.71</v>
      </c>
      <c r="K9" s="4"/>
      <c r="L9" s="4"/>
      <c r="M9" s="4" t="s">
        <v>747</v>
      </c>
      <c r="N9" s="4">
        <v>137</v>
      </c>
      <c r="O9" s="3">
        <f>=B9*(N9/100)*J9</f>
      </c>
    </row>
    <row r="10" spans="1:15" x14ac:dyDescent="0.25">
      <c r="A10" s="2" t="s">
        <v>857</v>
      </c>
      <c r="B10" s="4">
        <v>43</v>
      </c>
      <c r="C10" s="4" t="s">
        <v>841</v>
      </c>
      <c r="D10" s="4"/>
      <c r="E10" s="4"/>
      <c r="F10" s="4"/>
      <c r="G10" s="4" t="s">
        <v>856</v>
      </c>
      <c r="H10" s="4"/>
      <c r="I10" s="4"/>
      <c r="J10" s="4">
        <v>1.71</v>
      </c>
      <c r="K10" s="4"/>
      <c r="L10" s="4"/>
      <c r="M10" s="4" t="s">
        <v>747</v>
      </c>
      <c r="N10" s="4">
        <v>137</v>
      </c>
      <c r="O10" s="3">
        <f>=B10*(N10/100)*J10</f>
      </c>
    </row>
    <row r="11" spans="1:15" x14ac:dyDescent="0.25">
      <c r="A11" s="2" t="s">
        <v>858</v>
      </c>
      <c r="B11" s="4">
        <v>15.5</v>
      </c>
      <c r="C11" s="4" t="s">
        <v>859</v>
      </c>
      <c r="D11" s="4"/>
      <c r="E11" s="4"/>
      <c r="F11" s="4"/>
      <c r="G11" s="4" t="s">
        <v>860</v>
      </c>
      <c r="H11" s="4"/>
      <c r="I11" s="4">
        <v>262.4</v>
      </c>
      <c r="J11" s="4"/>
      <c r="K11" s="4"/>
      <c r="L11" s="4">
        <v>50</v>
      </c>
      <c r="M11" s="4" t="s">
        <v>747</v>
      </c>
      <c r="N11" s="4">
        <v>160</v>
      </c>
      <c r="O11" s="3">
        <v>0</v>
      </c>
    </row>
    <row r="12" spans="1:15" x14ac:dyDescent="0.25">
      <c r="A12" s="2" t="s">
        <v>861</v>
      </c>
      <c r="B12" s="4">
        <v>5</v>
      </c>
      <c r="C12" s="4" t="s">
        <v>859</v>
      </c>
      <c r="D12" s="4"/>
      <c r="E12" s="4"/>
      <c r="F12" s="4"/>
      <c r="G12" s="4" t="s">
        <v>862</v>
      </c>
      <c r="H12" s="4"/>
      <c r="I12" s="4">
        <v>250.69</v>
      </c>
      <c r="J12" s="4"/>
      <c r="K12" s="4"/>
      <c r="L12" s="4">
        <v>50</v>
      </c>
      <c r="M12" s="4" t="s">
        <v>747</v>
      </c>
      <c r="N12" s="4">
        <v>137</v>
      </c>
      <c r="O12" s="3">
        <v>0</v>
      </c>
    </row>
    <row r="13" spans="1:15" x14ac:dyDescent="0.25">
      <c r="A13" s="2" t="s">
        <v>863</v>
      </c>
      <c r="B13" s="4">
        <v>15</v>
      </c>
      <c r="C13" s="4" t="s">
        <v>841</v>
      </c>
      <c r="D13" s="4"/>
      <c r="E13" s="4"/>
      <c r="F13" s="4"/>
      <c r="G13" s="4" t="s">
        <v>864</v>
      </c>
      <c r="H13" s="4"/>
      <c r="I13" s="4"/>
      <c r="J13" s="4">
        <v>14.29</v>
      </c>
      <c r="K13" s="4"/>
      <c r="L13" s="4"/>
      <c r="M13" s="4" t="s">
        <v>747</v>
      </c>
      <c r="N13" s="4">
        <v>100</v>
      </c>
      <c r="O13" s="3">
        <f>=B13*(N13/100)*J13</f>
      </c>
    </row>
    <row r="14" spans="1:15" x14ac:dyDescent="0.25">
      <c r="A14" s="2" t="s">
        <v>865</v>
      </c>
      <c r="B14" s="4">
        <v>40</v>
      </c>
      <c r="C14" s="4" t="s">
        <v>841</v>
      </c>
      <c r="D14" s="4"/>
      <c r="E14" s="4"/>
      <c r="F14" s="4"/>
      <c r="G14" s="4" t="s">
        <v>866</v>
      </c>
      <c r="H14" s="4"/>
      <c r="I14" s="4"/>
      <c r="J14" s="4">
        <v>14.29</v>
      </c>
      <c r="K14" s="4"/>
      <c r="L14" s="4"/>
      <c r="M14" s="4" t="s">
        <v>747</v>
      </c>
      <c r="N14" s="4">
        <v>137</v>
      </c>
      <c r="O14" s="3">
        <f>=B14*(N14/100)*J14</f>
      </c>
    </row>
    <row r="15" spans="1:15" x14ac:dyDescent="0.25">
      <c r="A15" s="2" t="s">
        <v>867</v>
      </c>
      <c r="B15" s="4">
        <v>3</v>
      </c>
      <c r="C15" s="4" t="s">
        <v>841</v>
      </c>
      <c r="D15" s="4"/>
      <c r="E15" s="4"/>
      <c r="F15" s="4"/>
      <c r="G15" s="4" t="s">
        <v>868</v>
      </c>
      <c r="H15" s="4"/>
      <c r="I15" s="4"/>
      <c r="J15" s="4">
        <v>11.2</v>
      </c>
      <c r="K15" s="4"/>
      <c r="L15" s="4"/>
      <c r="M15" s="4" t="s">
        <v>747</v>
      </c>
      <c r="N15" s="4">
        <v>152</v>
      </c>
      <c r="O15" s="3">
        <f>=B15*(N15/100)*J15</f>
      </c>
    </row>
    <row r="16" spans="1:15" x14ac:dyDescent="0.25">
      <c r="A16" s="2" t="s">
        <v>869</v>
      </c>
      <c r="B16" s="4">
        <v>11</v>
      </c>
      <c r="C16" s="4" t="s">
        <v>859</v>
      </c>
      <c r="D16" s="4"/>
      <c r="E16" s="4"/>
      <c r="F16" s="4"/>
      <c r="G16" s="4" t="s">
        <v>870</v>
      </c>
      <c r="H16" s="4"/>
      <c r="I16" s="4">
        <v>435.8</v>
      </c>
      <c r="J16" s="4"/>
      <c r="K16" s="4"/>
      <c r="L16" s="4">
        <v>25</v>
      </c>
      <c r="M16" s="4" t="s">
        <v>747</v>
      </c>
      <c r="N16" s="4">
        <v>137</v>
      </c>
      <c r="O16" s="3">
        <v>0</v>
      </c>
    </row>
    <row r="17" spans="1:15" x14ac:dyDescent="0.25">
      <c r="A17" s="2" t="s">
        <v>871</v>
      </c>
      <c r="B17" s="4">
        <v>30</v>
      </c>
      <c r="C17" s="4" t="s">
        <v>859</v>
      </c>
      <c r="D17" s="4"/>
      <c r="E17" s="4"/>
      <c r="F17" s="4"/>
      <c r="G17" s="4" t="s">
        <v>872</v>
      </c>
      <c r="H17" s="4"/>
      <c r="I17" s="4">
        <v>213.98</v>
      </c>
      <c r="J17" s="4"/>
      <c r="K17" s="4"/>
      <c r="L17" s="4">
        <v>30</v>
      </c>
      <c r="M17" s="4" t="s">
        <v>747</v>
      </c>
      <c r="N17" s="4">
        <v>137</v>
      </c>
      <c r="O17" s="3">
        <v>0</v>
      </c>
    </row>
    <row r="18" spans="1:15" x14ac:dyDescent="0.25">
      <c r="A18" s="2" t="s">
        <v>873</v>
      </c>
      <c r="B18" s="4">
        <v>50</v>
      </c>
      <c r="C18" s="4" t="s">
        <v>841</v>
      </c>
      <c r="D18" s="4"/>
      <c r="E18" s="4"/>
      <c r="F18" s="4"/>
      <c r="G18" s="4" t="s">
        <v>874</v>
      </c>
      <c r="H18" s="4"/>
      <c r="I18" s="4"/>
      <c r="J18" s="4">
        <v>1.71</v>
      </c>
      <c r="K18" s="4"/>
      <c r="L18" s="4"/>
      <c r="M18" s="4" t="s">
        <v>747</v>
      </c>
      <c r="N18" s="4">
        <v>137</v>
      </c>
      <c r="O18" s="3">
        <f>=B18*(N18/100)*J18</f>
      </c>
    </row>
    <row r="19" spans="1:15" x14ac:dyDescent="0.25">
      <c r="A19" s="2" t="s">
        <v>875</v>
      </c>
      <c r="B19" s="4">
        <v>0</v>
      </c>
      <c r="C19" s="4" t="s">
        <v>841</v>
      </c>
      <c r="D19" s="4"/>
      <c r="E19" s="4"/>
      <c r="F19" s="4"/>
      <c r="G19" s="4" t="s">
        <v>876</v>
      </c>
      <c r="H19" s="4"/>
      <c r="I19" s="4"/>
      <c r="J19" s="4">
        <v>1.71</v>
      </c>
      <c r="K19" s="4"/>
      <c r="L19" s="4"/>
      <c r="M19" s="4" t="s">
        <v>747</v>
      </c>
      <c r="N19" s="4">
        <v>137</v>
      </c>
      <c r="O19" s="3">
        <f>=B19*(N19/100)*J19</f>
      </c>
    </row>
    <row r="20" spans="1:15" x14ac:dyDescent="0.25">
      <c r="A20" s="2" t="s">
        <v>877</v>
      </c>
      <c r="B20" s="4">
        <v>19</v>
      </c>
      <c r="C20" s="4" t="s">
        <v>841</v>
      </c>
      <c r="D20" s="4"/>
      <c r="E20" s="4" t="s">
        <v>102</v>
      </c>
      <c r="F20" s="4"/>
      <c r="G20" s="4" t="s">
        <v>878</v>
      </c>
      <c r="H20" s="4"/>
      <c r="I20" s="4"/>
      <c r="J20" s="4">
        <v>11.2</v>
      </c>
      <c r="K20" s="4"/>
      <c r="L20" s="4"/>
      <c r="M20" s="4" t="s">
        <v>747</v>
      </c>
      <c r="N20" s="4">
        <v>152</v>
      </c>
      <c r="O20" s="3">
        <f>=B20*(N20/100)*J20</f>
      </c>
    </row>
    <row r="21" spans="1:15" x14ac:dyDescent="0.25">
      <c r="A21" s="2" t="s">
        <v>879</v>
      </c>
      <c r="B21" s="4">
        <v>2.5</v>
      </c>
      <c r="C21" s="4" t="s">
        <v>859</v>
      </c>
      <c r="D21" s="4"/>
      <c r="E21" s="4"/>
      <c r="F21" s="4"/>
      <c r="G21" s="4" t="s">
        <v>872</v>
      </c>
      <c r="H21" s="4"/>
      <c r="I21" s="4">
        <v>213.98</v>
      </c>
      <c r="J21" s="4"/>
      <c r="K21" s="4"/>
      <c r="L21" s="4">
        <v>30</v>
      </c>
      <c r="M21" s="4" t="s">
        <v>747</v>
      </c>
      <c r="N21" s="4">
        <v>137</v>
      </c>
      <c r="O21" s="3">
        <v>0</v>
      </c>
    </row>
    <row r="22" spans="1:15" x14ac:dyDescent="0.25">
      <c r="A22" s="2" t="s">
        <v>880</v>
      </c>
      <c r="B22" s="4">
        <v>1.7</v>
      </c>
      <c r="C22" s="4" t="s">
        <v>859</v>
      </c>
      <c r="D22" s="4"/>
      <c r="E22" s="4"/>
      <c r="F22" s="4"/>
      <c r="G22" s="4" t="s">
        <v>872</v>
      </c>
      <c r="H22" s="4"/>
      <c r="I22" s="4">
        <v>213.98</v>
      </c>
      <c r="J22" s="4"/>
      <c r="K22" s="4"/>
      <c r="L22" s="4">
        <v>30</v>
      </c>
      <c r="M22" s="4" t="s">
        <v>747</v>
      </c>
      <c r="N22" s="4">
        <v>137</v>
      </c>
      <c r="O22" s="3">
        <v>0</v>
      </c>
    </row>
    <row r="23" spans="1:15" x14ac:dyDescent="0.25">
      <c r="A23" s="2" t="s">
        <v>881</v>
      </c>
      <c r="B23" s="4">
        <v>2</v>
      </c>
      <c r="C23" s="4" t="s">
        <v>859</v>
      </c>
      <c r="D23" s="4"/>
      <c r="E23" s="4"/>
      <c r="F23" s="4"/>
      <c r="G23" s="4" t="s">
        <v>872</v>
      </c>
      <c r="H23" s="4"/>
      <c r="I23" s="4">
        <v>213.98</v>
      </c>
      <c r="J23" s="4"/>
      <c r="K23" s="4"/>
      <c r="L23" s="4">
        <v>30</v>
      </c>
      <c r="M23" s="4" t="s">
        <v>747</v>
      </c>
      <c r="N23" s="4">
        <v>137</v>
      </c>
      <c r="O23" s="3">
        <v>0</v>
      </c>
    </row>
    <row r="24" spans="1:15" x14ac:dyDescent="0.25">
      <c r="A24" s="2" t="s">
        <v>882</v>
      </c>
      <c r="B24" s="4">
        <v>1.5</v>
      </c>
      <c r="C24" s="4" t="s">
        <v>859</v>
      </c>
      <c r="D24" s="4"/>
      <c r="E24" s="4"/>
      <c r="F24" s="4"/>
      <c r="G24" s="4" t="s">
        <v>872</v>
      </c>
      <c r="H24" s="4"/>
      <c r="I24" s="4">
        <v>213.98</v>
      </c>
      <c r="J24" s="4"/>
      <c r="K24" s="4"/>
      <c r="L24" s="4">
        <v>30</v>
      </c>
      <c r="M24" s="4" t="s">
        <v>747</v>
      </c>
      <c r="N24" s="4">
        <v>137</v>
      </c>
      <c r="O24" s="3">
        <v>0</v>
      </c>
    </row>
    <row r="25" spans="1:15" x14ac:dyDescent="0.25">
      <c r="A25" s="2" t="s">
        <v>883</v>
      </c>
      <c r="B25" s="4">
        <v>40.5</v>
      </c>
      <c r="C25" s="4" t="s">
        <v>841</v>
      </c>
      <c r="D25" s="4"/>
      <c r="E25" s="4"/>
      <c r="F25" s="4"/>
      <c r="G25" s="4" t="s">
        <v>884</v>
      </c>
      <c r="H25" s="4"/>
      <c r="I25" s="4"/>
      <c r="J25" s="4"/>
      <c r="K25" s="4"/>
      <c r="L25" s="4"/>
      <c r="M25" s="4" t="s">
        <v>747</v>
      </c>
      <c r="N25" s="4">
        <v>137</v>
      </c>
      <c r="O25" s="3">
        <f>=B25*(N25/100)*J25</f>
      </c>
    </row>
    <row r="26" spans="1:15" x14ac:dyDescent="0.25">
      <c r="A26" s="2" t="s">
        <v>885</v>
      </c>
      <c r="B26" s="4">
        <v>26</v>
      </c>
      <c r="C26" s="4" t="s">
        <v>841</v>
      </c>
      <c r="D26" s="4"/>
      <c r="E26" s="4"/>
      <c r="F26" s="4"/>
      <c r="G26" s="4" t="s">
        <v>886</v>
      </c>
      <c r="H26" s="4"/>
      <c r="I26" s="4"/>
      <c r="J26" s="4"/>
      <c r="K26" s="4"/>
      <c r="L26" s="4"/>
      <c r="M26" s="4" t="s">
        <v>747</v>
      </c>
      <c r="N26" s="4">
        <v>137</v>
      </c>
      <c r="O26" s="3">
        <f>=B26*(N26/100)*J26</f>
      </c>
    </row>
    <row r="27" spans="1:15" x14ac:dyDescent="0.25">
      <c r="A27" s="2" t="s">
        <v>887</v>
      </c>
      <c r="B27" s="4">
        <v>0</v>
      </c>
      <c r="C27" s="4" t="s">
        <v>841</v>
      </c>
      <c r="D27" s="4"/>
      <c r="E27" s="4"/>
      <c r="F27" s="4"/>
      <c r="G27" s="4" t="s">
        <v>888</v>
      </c>
      <c r="H27" s="4"/>
      <c r="I27" s="4"/>
      <c r="J27" s="4"/>
      <c r="K27" s="4"/>
      <c r="L27" s="4"/>
      <c r="M27" s="4" t="s">
        <v>747</v>
      </c>
      <c r="N27" s="4">
        <v>137</v>
      </c>
      <c r="O27" s="3">
        <f>=B27*(N27/100)*J27</f>
      </c>
    </row>
    <row r="28" spans="1:15" x14ac:dyDescent="0.25">
      <c r="A28" s="2" t="s">
        <v>889</v>
      </c>
      <c r="B28" s="4">
        <v>3</v>
      </c>
      <c r="C28" s="4" t="s">
        <v>841</v>
      </c>
      <c r="D28" s="4"/>
      <c r="E28" s="4"/>
      <c r="F28" s="4"/>
      <c r="G28" s="4" t="s">
        <v>868</v>
      </c>
      <c r="H28" s="4"/>
      <c r="I28" s="4"/>
      <c r="J28" s="4"/>
      <c r="K28" s="4"/>
      <c r="L28" s="4"/>
      <c r="M28" s="4" t="s">
        <v>747</v>
      </c>
      <c r="N28" s="4">
        <v>152</v>
      </c>
      <c r="O28" s="3">
        <f>=B28*(N28/100)*J28</f>
      </c>
    </row>
    <row r="29" spans="1:15" x14ac:dyDescent="0.25">
      <c r="A29" s="2" t="s">
        <v>890</v>
      </c>
      <c r="B29" s="4">
        <v>45</v>
      </c>
      <c r="C29" s="4" t="s">
        <v>841</v>
      </c>
      <c r="D29" s="4"/>
      <c r="E29" s="4"/>
      <c r="F29" s="4"/>
      <c r="G29" s="4" t="s">
        <v>842</v>
      </c>
      <c r="H29" s="4"/>
      <c r="I29" s="4"/>
      <c r="J29" s="4">
        <v>4.14</v>
      </c>
      <c r="K29" s="4"/>
      <c r="L29" s="4"/>
      <c r="M29" s="4" t="s">
        <v>747</v>
      </c>
      <c r="N29" s="4">
        <v>137</v>
      </c>
      <c r="O29" s="3">
        <f>=B29*(N29/100)*J29</f>
      </c>
    </row>
    <row r="30" spans="1:15" x14ac:dyDescent="0.25">
      <c r="A30" s="2" t="s">
        <v>891</v>
      </c>
      <c r="B30" s="4">
        <v>8</v>
      </c>
      <c r="C30" s="4" t="s">
        <v>841</v>
      </c>
      <c r="D30" s="4"/>
      <c r="E30" s="4"/>
      <c r="F30" s="4"/>
      <c r="G30" s="4" t="s">
        <v>844</v>
      </c>
      <c r="H30" s="4"/>
      <c r="I30" s="4"/>
      <c r="J30" s="4">
        <v>4.14</v>
      </c>
      <c r="K30" s="4"/>
      <c r="L30" s="4"/>
      <c r="M30" s="4" t="s">
        <v>747</v>
      </c>
      <c r="N30" s="4">
        <v>160</v>
      </c>
      <c r="O30" s="3">
        <f>=B30*(N30/100)*J30</f>
      </c>
    </row>
    <row r="31" spans="1:15" x14ac:dyDescent="0.25">
      <c r="A31" s="2" t="s">
        <v>892</v>
      </c>
      <c r="B31" s="4">
        <v>7</v>
      </c>
      <c r="C31" s="4" t="s">
        <v>841</v>
      </c>
      <c r="D31" s="4"/>
      <c r="E31" s="4"/>
      <c r="F31" s="4"/>
      <c r="G31" s="4" t="s">
        <v>844</v>
      </c>
      <c r="H31" s="4"/>
      <c r="I31" s="4"/>
      <c r="J31" s="4">
        <v>4.14</v>
      </c>
      <c r="K31" s="4"/>
      <c r="L31" s="4"/>
      <c r="M31" s="4" t="s">
        <v>747</v>
      </c>
      <c r="N31" s="4">
        <v>160</v>
      </c>
      <c r="O31" s="3">
        <f>=B31*(N31/100)*J31</f>
      </c>
    </row>
    <row r="32" spans="1:15" x14ac:dyDescent="0.25">
      <c r="A32" s="2" t="s">
        <v>893</v>
      </c>
      <c r="B32" s="4">
        <v>3</v>
      </c>
      <c r="C32" s="4"/>
      <c r="D32" s="4">
        <v>0</v>
      </c>
      <c r="E32" s="4" t="s">
        <v>102</v>
      </c>
      <c r="F32" s="4">
        <v>0</v>
      </c>
      <c r="G32" s="4" t="s">
        <v>894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 t="s">
        <v>102</v>
      </c>
      <c r="N32" s="4">
        <v>0</v>
      </c>
      <c r="O32" s="3">
        <f>=0</f>
      </c>
    </row>
    <row r="33" spans="1:15" x14ac:dyDescent="0.25">
      <c r="A33" s="2" t="s">
        <v>895</v>
      </c>
      <c r="B33" s="4">
        <v>5</v>
      </c>
      <c r="C33" s="4"/>
      <c r="D33" s="4">
        <v>0</v>
      </c>
      <c r="E33" s="4" t="s">
        <v>102</v>
      </c>
      <c r="F33" s="4">
        <v>0</v>
      </c>
      <c r="G33" s="4" t="s">
        <v>896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 t="s">
        <v>102</v>
      </c>
      <c r="N33" s="4">
        <v>0</v>
      </c>
      <c r="O33" s="3">
        <f>=0</f>
      </c>
    </row>
    <row r="34" spans="1:15" x14ac:dyDescent="0.25">
      <c r="A34" s="2" t="s">
        <v>897</v>
      </c>
      <c r="B34" s="4">
        <v>50</v>
      </c>
      <c r="C34" s="4"/>
      <c r="D34" s="4">
        <v>0</v>
      </c>
      <c r="E34" s="4" t="s">
        <v>102</v>
      </c>
      <c r="F34" s="4">
        <v>0</v>
      </c>
      <c r="G34" s="4" t="s">
        <v>842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 t="s">
        <v>102</v>
      </c>
      <c r="N34" s="4">
        <v>0</v>
      </c>
      <c r="O34" s="3">
        <f>=0</f>
      </c>
    </row>
    <row r="35" spans="1:15" x14ac:dyDescent="0.25">
      <c r="A35" s="2" t="s">
        <v>898</v>
      </c>
      <c r="B35" s="4">
        <v>9</v>
      </c>
      <c r="C35" s="4"/>
      <c r="D35" s="4">
        <v>0</v>
      </c>
      <c r="E35" s="4" t="s">
        <v>102</v>
      </c>
      <c r="F35" s="4">
        <v>0</v>
      </c>
      <c r="G35" s="4" t="s">
        <v>899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 t="s">
        <v>102</v>
      </c>
      <c r="N35" s="4">
        <v>0</v>
      </c>
      <c r="O35" s="3">
        <f>=0</f>
      </c>
    </row>
    <row r="36" spans="1:15" x14ac:dyDescent="0.25">
      <c r="A36" s="2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5" t="s">
        <v>25</v>
      </c>
      <c r="O36" s="6">
        <f>=SUM(O2:O35)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900</v>
      </c>
      <c r="B2" s="4">
        <v>0</v>
      </c>
      <c r="C2" s="4" t="s">
        <v>745</v>
      </c>
      <c r="D2" s="4"/>
      <c r="E2" s="4"/>
      <c r="F2" s="4"/>
      <c r="G2" s="4" t="s">
        <v>901</v>
      </c>
      <c r="H2" s="4">
        <v>0</v>
      </c>
      <c r="I2" s="4"/>
      <c r="J2" s="4"/>
      <c r="K2" s="4"/>
      <c r="L2" s="4"/>
      <c r="M2" s="4" t="s">
        <v>747</v>
      </c>
      <c r="N2" s="4"/>
      <c r="O2" s="3">
        <f>=B2*H2</f>
      </c>
    </row>
    <row r="3" spans="1:15" x14ac:dyDescent="0.25">
      <c r="A3" s="2" t="s">
        <v>902</v>
      </c>
      <c r="B3" s="4">
        <v>0</v>
      </c>
      <c r="C3" s="4" t="s">
        <v>745</v>
      </c>
      <c r="D3" s="4"/>
      <c r="E3" s="4"/>
      <c r="F3" s="4"/>
      <c r="G3" s="4" t="s">
        <v>903</v>
      </c>
      <c r="H3" s="4">
        <v>29.49</v>
      </c>
      <c r="I3" s="4"/>
      <c r="J3" s="4"/>
      <c r="K3" s="4"/>
      <c r="L3" s="4"/>
      <c r="M3" s="4" t="s">
        <v>747</v>
      </c>
      <c r="N3" s="4"/>
      <c r="O3" s="3">
        <f>=B3*H3</f>
      </c>
    </row>
    <row r="4" spans="1:15" x14ac:dyDescent="0.25">
      <c r="A4" s="2" t="s">
        <v>904</v>
      </c>
      <c r="B4" s="4">
        <v>0</v>
      </c>
      <c r="C4" s="4" t="s">
        <v>745</v>
      </c>
      <c r="D4" s="4"/>
      <c r="E4" s="4"/>
      <c r="F4" s="4"/>
      <c r="G4" s="4" t="s">
        <v>905</v>
      </c>
      <c r="H4" s="4">
        <v>29.49</v>
      </c>
      <c r="I4" s="4"/>
      <c r="J4" s="4"/>
      <c r="K4" s="4"/>
      <c r="L4" s="4"/>
      <c r="M4" s="4" t="s">
        <v>747</v>
      </c>
      <c r="N4" s="4"/>
      <c r="O4" s="3">
        <f>=B4*H4</f>
      </c>
    </row>
    <row r="5" spans="1:15" x14ac:dyDescent="0.25">
      <c r="A5" s="2" t="s">
        <v>906</v>
      </c>
      <c r="B5" s="4">
        <v>0</v>
      </c>
      <c r="C5" s="4" t="s">
        <v>745</v>
      </c>
      <c r="D5" s="4"/>
      <c r="E5" s="4"/>
      <c r="F5" s="4"/>
      <c r="G5" s="4" t="s">
        <v>907</v>
      </c>
      <c r="H5" s="4">
        <v>29.49</v>
      </c>
      <c r="I5" s="4"/>
      <c r="J5" s="4"/>
      <c r="K5" s="4"/>
      <c r="L5" s="4"/>
      <c r="M5" s="4" t="s">
        <v>747</v>
      </c>
      <c r="N5" s="4"/>
      <c r="O5" s="3">
        <f>=B5*H5</f>
      </c>
    </row>
    <row r="6" spans="1:15" x14ac:dyDescent="0.25">
      <c r="A6" s="2" t="s">
        <v>908</v>
      </c>
      <c r="B6" s="4">
        <v>3.9</v>
      </c>
      <c r="C6" s="4" t="s">
        <v>745</v>
      </c>
      <c r="D6" s="4"/>
      <c r="E6" s="4"/>
      <c r="F6" s="4"/>
      <c r="G6" s="4" t="s">
        <v>909</v>
      </c>
      <c r="H6" s="4">
        <v>29.49</v>
      </c>
      <c r="I6" s="4"/>
      <c r="J6" s="4"/>
      <c r="K6" s="4"/>
      <c r="L6" s="4"/>
      <c r="M6" s="4" t="s">
        <v>747</v>
      </c>
      <c r="N6" s="4"/>
      <c r="O6" s="3">
        <f>=B6*H6</f>
      </c>
    </row>
    <row r="7" spans="1:15" x14ac:dyDescent="0.25">
      <c r="A7" s="2" t="s">
        <v>910</v>
      </c>
      <c r="B7" s="4">
        <v>1.09</v>
      </c>
      <c r="C7" s="4" t="s">
        <v>745</v>
      </c>
      <c r="D7" s="4"/>
      <c r="E7" s="4"/>
      <c r="F7" s="4"/>
      <c r="G7" s="4" t="s">
        <v>909</v>
      </c>
      <c r="H7" s="4">
        <v>29.49</v>
      </c>
      <c r="I7" s="4"/>
      <c r="J7" s="4"/>
      <c r="K7" s="4"/>
      <c r="L7" s="4"/>
      <c r="M7" s="4" t="s">
        <v>747</v>
      </c>
      <c r="N7" s="4"/>
      <c r="O7" s="3">
        <f>=B7*H7</f>
      </c>
    </row>
    <row r="8" spans="1:15" x14ac:dyDescent="0.25">
      <c r="A8" s="2" t="s">
        <v>911</v>
      </c>
      <c r="B8" s="4">
        <v>1.96</v>
      </c>
      <c r="C8" s="4" t="s">
        <v>745</v>
      </c>
      <c r="D8" s="4"/>
      <c r="E8" s="4"/>
      <c r="F8" s="4"/>
      <c r="G8" s="4" t="s">
        <v>909</v>
      </c>
      <c r="H8" s="4">
        <v>29.49</v>
      </c>
      <c r="I8" s="4"/>
      <c r="J8" s="4"/>
      <c r="K8" s="4"/>
      <c r="L8" s="4"/>
      <c r="M8" s="4" t="s">
        <v>747</v>
      </c>
      <c r="N8" s="4"/>
      <c r="O8" s="3">
        <f>=B8*H8</f>
      </c>
    </row>
    <row r="9" spans="1:15" x14ac:dyDescent="0.25">
      <c r="A9" s="2" t="s">
        <v>912</v>
      </c>
      <c r="B9" s="4">
        <v>3.47</v>
      </c>
      <c r="C9" s="4" t="s">
        <v>745</v>
      </c>
      <c r="D9" s="4"/>
      <c r="E9" s="4"/>
      <c r="F9" s="4"/>
      <c r="G9" s="4" t="s">
        <v>909</v>
      </c>
      <c r="H9" s="4">
        <v>29.49</v>
      </c>
      <c r="I9" s="4"/>
      <c r="J9" s="4"/>
      <c r="K9" s="4"/>
      <c r="L9" s="4"/>
      <c r="M9" s="4" t="s">
        <v>747</v>
      </c>
      <c r="N9" s="4"/>
      <c r="O9" s="3">
        <f>=B9*H9</f>
      </c>
    </row>
    <row r="10" spans="1:15" x14ac:dyDescent="0.25">
      <c r="A10" s="2" t="s">
        <v>913</v>
      </c>
      <c r="B10" s="4">
        <v>0</v>
      </c>
      <c r="C10" s="4" t="s">
        <v>745</v>
      </c>
      <c r="D10" s="4"/>
      <c r="E10" s="4"/>
      <c r="F10" s="4"/>
      <c r="G10" s="4" t="s">
        <v>914</v>
      </c>
      <c r="H10" s="4">
        <v>29.49</v>
      </c>
      <c r="I10" s="4"/>
      <c r="J10" s="4"/>
      <c r="K10" s="4"/>
      <c r="L10" s="4"/>
      <c r="M10" s="4" t="s">
        <v>747</v>
      </c>
      <c r="N10" s="4"/>
      <c r="O10" s="3">
        <f>=B10*H10</f>
      </c>
    </row>
    <row r="11" spans="1:15" x14ac:dyDescent="0.25">
      <c r="A11" s="2" t="s">
        <v>915</v>
      </c>
      <c r="B11" s="4">
        <v>0</v>
      </c>
      <c r="C11" s="4" t="s">
        <v>745</v>
      </c>
      <c r="D11" s="4"/>
      <c r="E11" s="4"/>
      <c r="F11" s="4"/>
      <c r="G11" s="4" t="s">
        <v>916</v>
      </c>
      <c r="H11" s="4">
        <v>29.49</v>
      </c>
      <c r="I11" s="4"/>
      <c r="J11" s="4"/>
      <c r="K11" s="4"/>
      <c r="L11" s="4"/>
      <c r="M11" s="4" t="s">
        <v>747</v>
      </c>
      <c r="N11" s="4"/>
      <c r="O11" s="3">
        <f>=B11*H11</f>
      </c>
    </row>
    <row r="12" spans="1:15" x14ac:dyDescent="0.25">
      <c r="A12" s="2" t="s">
        <v>917</v>
      </c>
      <c r="B12" s="4">
        <v>0</v>
      </c>
      <c r="C12" s="4" t="s">
        <v>745</v>
      </c>
      <c r="D12" s="4"/>
      <c r="E12" s="4"/>
      <c r="F12" s="4"/>
      <c r="G12" s="4" t="s">
        <v>918</v>
      </c>
      <c r="H12" s="4">
        <v>29.49</v>
      </c>
      <c r="I12" s="4"/>
      <c r="J12" s="4"/>
      <c r="K12" s="4"/>
      <c r="L12" s="4"/>
      <c r="M12" s="4" t="s">
        <v>747</v>
      </c>
      <c r="N12" s="4"/>
      <c r="O12" s="3">
        <f>=B12*H12</f>
      </c>
    </row>
    <row r="13" spans="1:15" x14ac:dyDescent="0.25">
      <c r="A13" s="2" t="s">
        <v>919</v>
      </c>
      <c r="B13" s="4">
        <v>0</v>
      </c>
      <c r="C13" s="4" t="s">
        <v>745</v>
      </c>
      <c r="D13" s="4"/>
      <c r="E13" s="4"/>
      <c r="F13" s="4"/>
      <c r="G13" s="4" t="s">
        <v>920</v>
      </c>
      <c r="H13" s="4">
        <v>29.49</v>
      </c>
      <c r="I13" s="4"/>
      <c r="J13" s="4"/>
      <c r="K13" s="4"/>
      <c r="L13" s="4"/>
      <c r="M13" s="4" t="s">
        <v>747</v>
      </c>
      <c r="N13" s="4"/>
      <c r="O13" s="3">
        <f>=B13*H13</f>
      </c>
    </row>
    <row r="14" spans="1:15" x14ac:dyDescent="0.25">
      <c r="A14" s="2" t="s">
        <v>921</v>
      </c>
      <c r="B14" s="4">
        <v>0</v>
      </c>
      <c r="C14" s="4" t="s">
        <v>745</v>
      </c>
      <c r="D14" s="4"/>
      <c r="E14" s="4"/>
      <c r="F14" s="4"/>
      <c r="G14" s="4" t="s">
        <v>922</v>
      </c>
      <c r="H14" s="4">
        <v>29.49</v>
      </c>
      <c r="I14" s="4"/>
      <c r="J14" s="4"/>
      <c r="K14" s="4"/>
      <c r="L14" s="4"/>
      <c r="M14" s="4" t="s">
        <v>747</v>
      </c>
      <c r="N14" s="4"/>
      <c r="O14" s="3">
        <f>=B14*H14</f>
      </c>
    </row>
    <row r="15" spans="1:15" x14ac:dyDescent="0.25">
      <c r="A15" s="2" t="s">
        <v>923</v>
      </c>
      <c r="B15" s="4">
        <v>10</v>
      </c>
      <c r="C15" s="4" t="s">
        <v>745</v>
      </c>
      <c r="D15" s="4"/>
      <c r="E15" s="4"/>
      <c r="F15" s="4"/>
      <c r="G15" s="4" t="s">
        <v>924</v>
      </c>
      <c r="H15" s="4">
        <v>29.49</v>
      </c>
      <c r="I15" s="4"/>
      <c r="J15" s="4"/>
      <c r="K15" s="4"/>
      <c r="L15" s="4"/>
      <c r="M15" s="4" t="s">
        <v>747</v>
      </c>
      <c r="N15" s="4"/>
      <c r="O15" s="3">
        <f>=B15*H15</f>
      </c>
    </row>
    <row r="16" spans="1:15" x14ac:dyDescent="0.25">
      <c r="A16" s="2" t="s">
        <v>925</v>
      </c>
      <c r="B16" s="4">
        <v>0</v>
      </c>
      <c r="C16" s="4" t="s">
        <v>745</v>
      </c>
      <c r="D16" s="4"/>
      <c r="E16" s="4"/>
      <c r="F16" s="4"/>
      <c r="G16" s="4" t="s">
        <v>926</v>
      </c>
      <c r="H16" s="4">
        <v>29.49</v>
      </c>
      <c r="I16" s="4"/>
      <c r="J16" s="4"/>
      <c r="K16" s="4"/>
      <c r="L16" s="4"/>
      <c r="M16" s="4" t="s">
        <v>747</v>
      </c>
      <c r="N16" s="4"/>
      <c r="O16" s="3">
        <f>=B16*H16</f>
      </c>
    </row>
    <row r="17" spans="1:15" x14ac:dyDescent="0.25">
      <c r="A17" s="2" t="s">
        <v>927</v>
      </c>
      <c r="B17" s="4">
        <v>1.68</v>
      </c>
      <c r="C17" s="4" t="s">
        <v>745</v>
      </c>
      <c r="D17" s="4"/>
      <c r="E17" s="4" t="s">
        <v>928</v>
      </c>
      <c r="F17" s="4"/>
      <c r="G17" s="4" t="s">
        <v>929</v>
      </c>
      <c r="H17" s="4">
        <v>29.19</v>
      </c>
      <c r="I17" s="4"/>
      <c r="J17" s="4"/>
      <c r="K17" s="4"/>
      <c r="L17" s="4"/>
      <c r="M17" s="4" t="s">
        <v>747</v>
      </c>
      <c r="N17" s="4"/>
      <c r="O17" s="3">
        <f>=B17*H17</f>
      </c>
    </row>
    <row r="18" spans="1:15" x14ac:dyDescent="0.25">
      <c r="A18" s="2" t="s">
        <v>930</v>
      </c>
      <c r="B18" s="4">
        <v>0</v>
      </c>
      <c r="C18" s="4" t="s">
        <v>745</v>
      </c>
      <c r="D18" s="4"/>
      <c r="E18" s="4"/>
      <c r="F18" s="4"/>
      <c r="G18" s="4" t="s">
        <v>929</v>
      </c>
      <c r="H18" s="4">
        <v>29.49</v>
      </c>
      <c r="I18" s="4"/>
      <c r="J18" s="4"/>
      <c r="K18" s="4"/>
      <c r="L18" s="4"/>
      <c r="M18" s="4" t="s">
        <v>747</v>
      </c>
      <c r="N18" s="4"/>
      <c r="O18" s="3">
        <f>=B18*H18</f>
      </c>
    </row>
    <row r="19" spans="1:15" x14ac:dyDescent="0.25">
      <c r="A19" s="2" t="s">
        <v>931</v>
      </c>
      <c r="B19" s="4">
        <v>0</v>
      </c>
      <c r="C19" s="4" t="s">
        <v>745</v>
      </c>
      <c r="D19" s="4"/>
      <c r="E19" s="4"/>
      <c r="F19" s="4"/>
      <c r="G19" s="4" t="s">
        <v>929</v>
      </c>
      <c r="H19" s="4">
        <v>29.49</v>
      </c>
      <c r="I19" s="4"/>
      <c r="J19" s="4"/>
      <c r="K19" s="4"/>
      <c r="L19" s="4"/>
      <c r="M19" s="4" t="s">
        <v>747</v>
      </c>
      <c r="N19" s="4"/>
      <c r="O19" s="3">
        <f>=B19*H19</f>
      </c>
    </row>
    <row r="20" spans="1:15" x14ac:dyDescent="0.25">
      <c r="A20" s="2" t="s">
        <v>932</v>
      </c>
      <c r="B20" s="4">
        <v>0</v>
      </c>
      <c r="C20" s="4" t="s">
        <v>745</v>
      </c>
      <c r="D20" s="4"/>
      <c r="E20" s="4"/>
      <c r="F20" s="4"/>
      <c r="G20" s="4" t="s">
        <v>929</v>
      </c>
      <c r="H20" s="4">
        <v>29.49</v>
      </c>
      <c r="I20" s="4"/>
      <c r="J20" s="4"/>
      <c r="K20" s="4"/>
      <c r="L20" s="4"/>
      <c r="M20" s="4" t="s">
        <v>747</v>
      </c>
      <c r="N20" s="4"/>
      <c r="O20" s="3">
        <f>=B20*H20</f>
      </c>
    </row>
    <row r="21" spans="1:15" x14ac:dyDescent="0.25">
      <c r="A21" s="2" t="s">
        <v>933</v>
      </c>
      <c r="B21" s="4">
        <v>0</v>
      </c>
      <c r="C21" s="4" t="s">
        <v>745</v>
      </c>
      <c r="D21" s="4"/>
      <c r="E21" s="4"/>
      <c r="F21" s="4"/>
      <c r="G21" s="4" t="s">
        <v>934</v>
      </c>
      <c r="H21" s="4">
        <v>29.49</v>
      </c>
      <c r="I21" s="4"/>
      <c r="J21" s="4"/>
      <c r="K21" s="4"/>
      <c r="L21" s="4"/>
      <c r="M21" s="4" t="s">
        <v>747</v>
      </c>
      <c r="N21" s="4"/>
      <c r="O21" s="3">
        <f>=B21*H21</f>
      </c>
    </row>
    <row r="22" spans="1:15" x14ac:dyDescent="0.25">
      <c r="A22" s="2" t="s">
        <v>935</v>
      </c>
      <c r="B22" s="4">
        <v>2.02</v>
      </c>
      <c r="C22" s="4" t="s">
        <v>745</v>
      </c>
      <c r="D22" s="4"/>
      <c r="E22" s="4"/>
      <c r="F22" s="4"/>
      <c r="G22" s="4" t="s">
        <v>936</v>
      </c>
      <c r="H22" s="4">
        <v>29.49</v>
      </c>
      <c r="I22" s="4"/>
      <c r="J22" s="4"/>
      <c r="K22" s="4"/>
      <c r="L22" s="4"/>
      <c r="M22" s="4" t="s">
        <v>747</v>
      </c>
      <c r="N22" s="4"/>
      <c r="O22" s="3">
        <f>=B22*H22</f>
      </c>
    </row>
    <row r="23" spans="1:15" x14ac:dyDescent="0.25">
      <c r="A23" s="2" t="s">
        <v>937</v>
      </c>
      <c r="B23" s="4">
        <v>0</v>
      </c>
      <c r="C23" s="4" t="s">
        <v>745</v>
      </c>
      <c r="D23" s="4"/>
      <c r="E23" s="4"/>
      <c r="F23" s="4"/>
      <c r="G23" s="4" t="s">
        <v>938</v>
      </c>
      <c r="H23" s="4">
        <v>121.89</v>
      </c>
      <c r="I23" s="4"/>
      <c r="J23" s="4"/>
      <c r="K23" s="4"/>
      <c r="L23" s="4"/>
      <c r="M23" s="4" t="s">
        <v>747</v>
      </c>
      <c r="N23" s="4"/>
      <c r="O23" s="3">
        <f>=B23*H23</f>
      </c>
    </row>
    <row r="24" spans="1:15" x14ac:dyDescent="0.25">
      <c r="A24" s="2" t="s">
        <v>939</v>
      </c>
      <c r="B24" s="4">
        <v>0</v>
      </c>
      <c r="C24" s="4" t="s">
        <v>745</v>
      </c>
      <c r="D24" s="4"/>
      <c r="E24" s="4"/>
      <c r="F24" s="4"/>
      <c r="G24" s="4" t="s">
        <v>938</v>
      </c>
      <c r="H24" s="4">
        <v>121.89</v>
      </c>
      <c r="I24" s="4"/>
      <c r="J24" s="4"/>
      <c r="K24" s="4"/>
      <c r="L24" s="4"/>
      <c r="M24" s="4" t="s">
        <v>747</v>
      </c>
      <c r="N24" s="4"/>
      <c r="O24" s="3">
        <f>=B24*H24</f>
      </c>
    </row>
    <row r="25" spans="1:15" x14ac:dyDescent="0.25">
      <c r="A25" s="2" t="s">
        <v>940</v>
      </c>
      <c r="B25" s="4">
        <v>0</v>
      </c>
      <c r="C25" s="4" t="s">
        <v>745</v>
      </c>
      <c r="D25" s="4"/>
      <c r="E25" s="4"/>
      <c r="F25" s="4"/>
      <c r="G25" s="4" t="s">
        <v>941</v>
      </c>
      <c r="H25" s="4">
        <v>29.49</v>
      </c>
      <c r="I25" s="4"/>
      <c r="J25" s="4"/>
      <c r="K25" s="4"/>
      <c r="L25" s="4"/>
      <c r="M25" s="4" t="s">
        <v>747</v>
      </c>
      <c r="N25" s="4"/>
      <c r="O25" s="3">
        <f>=B25*H25</f>
      </c>
    </row>
    <row r="26" spans="1:15" x14ac:dyDescent="0.25">
      <c r="A26" s="2" t="s">
        <v>942</v>
      </c>
      <c r="B26" s="4">
        <v>0</v>
      </c>
      <c r="C26" s="4" t="s">
        <v>745</v>
      </c>
      <c r="D26" s="4"/>
      <c r="E26" s="4"/>
      <c r="F26" s="4"/>
      <c r="G26" s="4" t="s">
        <v>943</v>
      </c>
      <c r="H26" s="4">
        <v>52.63</v>
      </c>
      <c r="I26" s="4"/>
      <c r="J26" s="4"/>
      <c r="K26" s="4"/>
      <c r="L26" s="4"/>
      <c r="M26" s="4" t="s">
        <v>747</v>
      </c>
      <c r="N26" s="4"/>
      <c r="O26" s="3">
        <f>=B26*H26</f>
      </c>
    </row>
    <row r="27" spans="1:15" x14ac:dyDescent="0.25">
      <c r="A27" s="2" t="s">
        <v>944</v>
      </c>
      <c r="B27" s="4">
        <v>3.5</v>
      </c>
      <c r="C27" s="4" t="s">
        <v>745</v>
      </c>
      <c r="D27" s="4"/>
      <c r="E27" s="4"/>
      <c r="F27" s="4"/>
      <c r="G27" s="4" t="s">
        <v>945</v>
      </c>
      <c r="H27" s="4">
        <v>81.55</v>
      </c>
      <c r="I27" s="4"/>
      <c r="J27" s="4"/>
      <c r="K27" s="4"/>
      <c r="L27" s="4"/>
      <c r="M27" s="4" t="s">
        <v>747</v>
      </c>
      <c r="N27" s="4"/>
      <c r="O27" s="3">
        <f>=B27*H27</f>
      </c>
    </row>
    <row r="28" spans="1:15" x14ac:dyDescent="0.25">
      <c r="A28" s="2" t="s">
        <v>946</v>
      </c>
      <c r="B28" s="4">
        <v>5</v>
      </c>
      <c r="C28" s="4" t="s">
        <v>745</v>
      </c>
      <c r="D28" s="4"/>
      <c r="E28" s="4"/>
      <c r="F28" s="4"/>
      <c r="G28" s="4" t="s">
        <v>947</v>
      </c>
      <c r="H28" s="4">
        <v>81.55</v>
      </c>
      <c r="I28" s="4"/>
      <c r="J28" s="4"/>
      <c r="K28" s="4"/>
      <c r="L28" s="4"/>
      <c r="M28" s="4" t="s">
        <v>747</v>
      </c>
      <c r="N28" s="4"/>
      <c r="O28" s="3">
        <f>=B28*H28</f>
      </c>
    </row>
    <row r="29" spans="1:15" x14ac:dyDescent="0.25">
      <c r="A29" s="2" t="s">
        <v>948</v>
      </c>
      <c r="B29" s="4">
        <v>0</v>
      </c>
      <c r="C29" s="4" t="s">
        <v>745</v>
      </c>
      <c r="D29" s="4"/>
      <c r="E29" s="4"/>
      <c r="F29" s="4"/>
      <c r="G29" s="4" t="s">
        <v>949</v>
      </c>
      <c r="H29" s="4">
        <v>81.55</v>
      </c>
      <c r="I29" s="4"/>
      <c r="J29" s="4"/>
      <c r="K29" s="4"/>
      <c r="L29" s="4"/>
      <c r="M29" s="4" t="s">
        <v>747</v>
      </c>
      <c r="N29" s="4"/>
      <c r="O29" s="3">
        <f>=B29*H29</f>
      </c>
    </row>
    <row r="30" spans="1:15" x14ac:dyDescent="0.25">
      <c r="A30" s="2" t="s">
        <v>950</v>
      </c>
      <c r="B30" s="4">
        <v>1.53</v>
      </c>
      <c r="C30" s="4" t="s">
        <v>745</v>
      </c>
      <c r="D30" s="4"/>
      <c r="E30" s="4"/>
      <c r="F30" s="4"/>
      <c r="G30" s="4" t="s">
        <v>951</v>
      </c>
      <c r="H30" s="4">
        <v>81.55</v>
      </c>
      <c r="I30" s="4"/>
      <c r="J30" s="4"/>
      <c r="K30" s="4"/>
      <c r="L30" s="4"/>
      <c r="M30" s="4" t="s">
        <v>747</v>
      </c>
      <c r="N30" s="4"/>
      <c r="O30" s="3">
        <f>=B30*H30</f>
      </c>
    </row>
    <row r="31" spans="1:15" x14ac:dyDescent="0.25">
      <c r="A31" s="2" t="s">
        <v>952</v>
      </c>
      <c r="B31" s="4">
        <v>2</v>
      </c>
      <c r="C31" s="4" t="s">
        <v>745</v>
      </c>
      <c r="D31" s="4"/>
      <c r="E31" s="4"/>
      <c r="F31" s="4"/>
      <c r="G31" s="4" t="s">
        <v>953</v>
      </c>
      <c r="H31" s="4">
        <v>17.93</v>
      </c>
      <c r="I31" s="4"/>
      <c r="J31" s="4"/>
      <c r="K31" s="4"/>
      <c r="L31" s="4"/>
      <c r="M31" s="4" t="s">
        <v>747</v>
      </c>
      <c r="N31" s="4"/>
      <c r="O31" s="3">
        <f>=B31*H31</f>
      </c>
    </row>
    <row r="32" spans="1:15" x14ac:dyDescent="0.25">
      <c r="A32" s="2" t="s">
        <v>954</v>
      </c>
      <c r="B32" s="4">
        <v>0</v>
      </c>
      <c r="C32" s="4" t="s">
        <v>745</v>
      </c>
      <c r="D32" s="4"/>
      <c r="E32" s="4"/>
      <c r="F32" s="4"/>
      <c r="G32" s="4" t="s">
        <v>955</v>
      </c>
      <c r="H32" s="4">
        <v>0</v>
      </c>
      <c r="I32" s="4"/>
      <c r="J32" s="4"/>
      <c r="K32" s="4"/>
      <c r="L32" s="4"/>
      <c r="M32" s="4" t="s">
        <v>747</v>
      </c>
      <c r="N32" s="4"/>
      <c r="O32" s="3">
        <f>=B32*H32</f>
      </c>
    </row>
    <row r="33" spans="1:15" x14ac:dyDescent="0.25">
      <c r="A33" s="2" t="s">
        <v>956</v>
      </c>
      <c r="B33" s="4">
        <v>20</v>
      </c>
      <c r="C33" s="4" t="s">
        <v>745</v>
      </c>
      <c r="D33" s="4"/>
      <c r="E33" s="4"/>
      <c r="F33" s="4"/>
      <c r="G33" s="4" t="s">
        <v>957</v>
      </c>
      <c r="H33" s="4">
        <v>0</v>
      </c>
      <c r="I33" s="4"/>
      <c r="J33" s="4"/>
      <c r="K33" s="4"/>
      <c r="L33" s="4"/>
      <c r="M33" s="4" t="s">
        <v>747</v>
      </c>
      <c r="N33" s="4"/>
      <c r="O33" s="3">
        <f>=B33*H33</f>
      </c>
    </row>
    <row r="34" spans="1:15" x14ac:dyDescent="0.25">
      <c r="A34" s="2" t="s">
        <v>958</v>
      </c>
      <c r="B34" s="4">
        <v>0.9</v>
      </c>
      <c r="C34" s="4"/>
      <c r="D34" s="4">
        <v>0</v>
      </c>
      <c r="E34" s="4" t="s">
        <v>102</v>
      </c>
      <c r="F34" s="4">
        <v>0</v>
      </c>
      <c r="G34" s="4" t="s">
        <v>959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 t="s">
        <v>765</v>
      </c>
      <c r="N34" s="4">
        <v>0</v>
      </c>
      <c r="O34" s="3">
        <f>=0</f>
      </c>
    </row>
    <row r="35" spans="1:15" x14ac:dyDescent="0.25">
      <c r="A35" s="2" t="s">
        <v>960</v>
      </c>
      <c r="B35" s="4">
        <v>3.02</v>
      </c>
      <c r="C35" s="4"/>
      <c r="D35" s="4">
        <v>0</v>
      </c>
      <c r="E35" s="4" t="s">
        <v>102</v>
      </c>
      <c r="F35" s="4">
        <v>0</v>
      </c>
      <c r="G35" s="4" t="s">
        <v>924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 t="s">
        <v>765</v>
      </c>
      <c r="N35" s="4">
        <v>0</v>
      </c>
      <c r="O35" s="3">
        <f>=0</f>
      </c>
    </row>
    <row r="36" spans="1:15" x14ac:dyDescent="0.25">
      <c r="A36" s="2" t="s">
        <v>961</v>
      </c>
      <c r="B36" s="4">
        <v>4.81</v>
      </c>
      <c r="C36" s="4"/>
      <c r="D36" s="4">
        <v>0</v>
      </c>
      <c r="E36" s="4" t="s">
        <v>102</v>
      </c>
      <c r="F36" s="4">
        <v>0</v>
      </c>
      <c r="G36" s="4" t="s">
        <v>962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 t="s">
        <v>765</v>
      </c>
      <c r="N36" s="4">
        <v>0</v>
      </c>
      <c r="O36" s="3">
        <f>=0</f>
      </c>
    </row>
    <row r="37" spans="1:15" x14ac:dyDescent="0.25">
      <c r="A37" s="2" t="s">
        <v>963</v>
      </c>
      <c r="B37" s="4">
        <v>3.02</v>
      </c>
      <c r="C37" s="4"/>
      <c r="D37" s="4">
        <v>0</v>
      </c>
      <c r="E37" s="4" t="s">
        <v>102</v>
      </c>
      <c r="F37" s="4">
        <v>0</v>
      </c>
      <c r="G37" s="4" t="s">
        <v>964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 t="s">
        <v>765</v>
      </c>
      <c r="N37" s="4">
        <v>0</v>
      </c>
      <c r="O37" s="3">
        <f>=0</f>
      </c>
    </row>
    <row r="38" spans="1:15" x14ac:dyDescent="0.25">
      <c r="A38" s="2" t="s">
        <v>965</v>
      </c>
      <c r="B38" s="4">
        <v>2.67</v>
      </c>
      <c r="C38" s="4"/>
      <c r="D38" s="4">
        <v>0</v>
      </c>
      <c r="E38" s="4" t="s">
        <v>102</v>
      </c>
      <c r="F38" s="4">
        <v>0</v>
      </c>
      <c r="G38" s="4" t="s">
        <v>966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 t="s">
        <v>765</v>
      </c>
      <c r="N38" s="4">
        <v>0</v>
      </c>
      <c r="O38" s="3">
        <f>=0</f>
      </c>
    </row>
    <row r="39" spans="1:15" x14ac:dyDescent="0.25">
      <c r="A39" s="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5" t="s">
        <v>25</v>
      </c>
      <c r="O39" s="6">
        <f>=SUM(O2:O38)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967</v>
      </c>
      <c r="B2" s="4">
        <v>4</v>
      </c>
      <c r="C2" s="4" t="s">
        <v>16</v>
      </c>
      <c r="D2" s="4"/>
      <c r="E2" s="4"/>
      <c r="F2" s="4"/>
      <c r="G2" s="4" t="s">
        <v>968</v>
      </c>
      <c r="H2" s="4"/>
      <c r="I2" s="4">
        <v>14.65</v>
      </c>
      <c r="J2" s="4"/>
      <c r="K2" s="4"/>
      <c r="L2" s="4"/>
      <c r="M2" s="4" t="s">
        <v>969</v>
      </c>
      <c r="N2" s="4"/>
      <c r="O2" s="3">
        <f>=B2*I2</f>
      </c>
    </row>
    <row r="3" spans="1:15" x14ac:dyDescent="0.25">
      <c r="A3" s="2" t="s">
        <v>970</v>
      </c>
      <c r="B3" s="4">
        <v>9</v>
      </c>
      <c r="C3" s="4" t="s">
        <v>16</v>
      </c>
      <c r="D3" s="4"/>
      <c r="E3" s="4"/>
      <c r="F3" s="4"/>
      <c r="G3" s="4" t="s">
        <v>971</v>
      </c>
      <c r="H3" s="4"/>
      <c r="I3" s="4">
        <v>22.815</v>
      </c>
      <c r="J3" s="4"/>
      <c r="K3" s="4"/>
      <c r="L3" s="4"/>
      <c r="M3" s="4"/>
      <c r="N3" s="4"/>
      <c r="O3" s="3">
        <f>=B3*I3</f>
      </c>
    </row>
    <row r="4" spans="1:15" x14ac:dyDescent="0.25">
      <c r="A4" s="2" t="s">
        <v>972</v>
      </c>
      <c r="B4" s="4">
        <v>32</v>
      </c>
      <c r="C4" s="4" t="s">
        <v>16</v>
      </c>
      <c r="D4" s="4"/>
      <c r="E4" s="4" t="s">
        <v>102</v>
      </c>
      <c r="F4" s="4"/>
      <c r="G4" s="4" t="s">
        <v>973</v>
      </c>
      <c r="H4" s="4"/>
      <c r="I4" s="4">
        <v>2.69</v>
      </c>
      <c r="J4" s="4"/>
      <c r="K4" s="4"/>
      <c r="L4" s="4"/>
      <c r="M4" s="4"/>
      <c r="N4" s="4"/>
      <c r="O4" s="3">
        <f>=B4*I4</f>
      </c>
    </row>
    <row r="5" spans="1:15" x14ac:dyDescent="0.25">
      <c r="A5" s="2" t="s">
        <v>974</v>
      </c>
      <c r="B5" s="4">
        <v>9</v>
      </c>
      <c r="C5" s="4" t="s">
        <v>16</v>
      </c>
      <c r="D5" s="4"/>
      <c r="E5" s="4"/>
      <c r="F5" s="4"/>
      <c r="G5" s="4" t="s">
        <v>975</v>
      </c>
      <c r="H5" s="4"/>
      <c r="I5" s="4">
        <v>4.5</v>
      </c>
      <c r="J5" s="4"/>
      <c r="K5" s="4"/>
      <c r="L5" s="4"/>
      <c r="M5" s="4"/>
      <c r="N5" s="4"/>
      <c r="O5" s="3">
        <f>=B5*I5</f>
      </c>
    </row>
    <row r="6" spans="1:15" x14ac:dyDescent="0.25">
      <c r="A6" s="2" t="s">
        <v>976</v>
      </c>
      <c r="B6" s="4">
        <v>26</v>
      </c>
      <c r="C6" s="4" t="s">
        <v>16</v>
      </c>
      <c r="D6" s="4"/>
      <c r="E6" s="4"/>
      <c r="F6" s="4"/>
      <c r="G6" s="4" t="s">
        <v>977</v>
      </c>
      <c r="H6" s="4"/>
      <c r="I6" s="4">
        <v>6.51</v>
      </c>
      <c r="J6" s="4"/>
      <c r="K6" s="4"/>
      <c r="L6" s="4"/>
      <c r="M6" s="4"/>
      <c r="N6" s="4"/>
      <c r="O6" s="3">
        <f>=B6*I6</f>
      </c>
    </row>
    <row r="7" spans="1:15" x14ac:dyDescent="0.25">
      <c r="A7" s="2" t="s">
        <v>978</v>
      </c>
      <c r="B7" s="4">
        <v>26</v>
      </c>
      <c r="C7" s="4" t="s">
        <v>16</v>
      </c>
      <c r="D7" s="4"/>
      <c r="E7" s="4" t="s">
        <v>102</v>
      </c>
      <c r="F7" s="4"/>
      <c r="G7" s="4" t="s">
        <v>979</v>
      </c>
      <c r="H7" s="4"/>
      <c r="I7" s="4">
        <v>1.12</v>
      </c>
      <c r="J7" s="4"/>
      <c r="K7" s="4"/>
      <c r="L7" s="4"/>
      <c r="M7" s="4"/>
      <c r="N7" s="4"/>
      <c r="O7" s="3">
        <f>=B7*I7</f>
      </c>
    </row>
    <row r="8" spans="1:15" x14ac:dyDescent="0.25">
      <c r="A8" s="2" t="s">
        <v>980</v>
      </c>
      <c r="B8" s="4">
        <v>5</v>
      </c>
      <c r="C8" s="4"/>
      <c r="D8" s="4">
        <v>0</v>
      </c>
      <c r="E8" s="4" t="s">
        <v>102</v>
      </c>
      <c r="F8" s="4">
        <v>0</v>
      </c>
      <c r="G8" s="4" t="s">
        <v>981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 t="s">
        <v>18</v>
      </c>
      <c r="N8" s="4">
        <v>0</v>
      </c>
      <c r="O8" s="3">
        <f>=0</f>
      </c>
    </row>
    <row r="9" spans="1:15" x14ac:dyDescent="0.25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 t="s">
        <v>25</v>
      </c>
      <c r="O9" s="6">
        <f>=SUM(O2:O8)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982</v>
      </c>
      <c r="B2" s="4">
        <v>2</v>
      </c>
      <c r="C2" s="4" t="s">
        <v>745</v>
      </c>
      <c r="D2" s="4"/>
      <c r="E2" s="4"/>
      <c r="F2" s="4"/>
      <c r="G2" s="4" t="s">
        <v>983</v>
      </c>
      <c r="H2" s="4">
        <v>10.55</v>
      </c>
      <c r="I2" s="4"/>
      <c r="J2" s="4"/>
      <c r="K2" s="4"/>
      <c r="L2" s="4"/>
      <c r="M2" s="4" t="s">
        <v>747</v>
      </c>
      <c r="N2" s="4"/>
      <c r="O2" s="3">
        <f>=B2*H2</f>
      </c>
    </row>
    <row r="3" spans="1:15" x14ac:dyDescent="0.25">
      <c r="A3" s="2" t="s">
        <v>984</v>
      </c>
      <c r="B3" s="4">
        <v>0</v>
      </c>
      <c r="C3" s="4" t="s">
        <v>745</v>
      </c>
      <c r="D3" s="4"/>
      <c r="E3" s="4"/>
      <c r="F3" s="4"/>
      <c r="G3" s="4" t="s">
        <v>983</v>
      </c>
      <c r="H3" s="4">
        <v>10.55</v>
      </c>
      <c r="I3" s="4"/>
      <c r="J3" s="4"/>
      <c r="K3" s="4"/>
      <c r="L3" s="4"/>
      <c r="M3" s="4" t="s">
        <v>747</v>
      </c>
      <c r="N3" s="4"/>
      <c r="O3" s="3">
        <f>=B3*H3</f>
      </c>
    </row>
    <row r="4" spans="1:15" x14ac:dyDescent="0.25">
      <c r="A4" s="2" t="s">
        <v>985</v>
      </c>
      <c r="B4" s="4">
        <v>1.3</v>
      </c>
      <c r="C4" s="4" t="s">
        <v>745</v>
      </c>
      <c r="D4" s="4"/>
      <c r="E4" s="4"/>
      <c r="F4" s="4"/>
      <c r="G4" s="4" t="s">
        <v>986</v>
      </c>
      <c r="H4" s="4">
        <v>10.55</v>
      </c>
      <c r="I4" s="4"/>
      <c r="J4" s="4"/>
      <c r="K4" s="4"/>
      <c r="L4" s="4"/>
      <c r="M4" s="4" t="s">
        <v>747</v>
      </c>
      <c r="N4" s="4"/>
      <c r="O4" s="3">
        <f>=B4*H4</f>
      </c>
    </row>
    <row r="5" spans="1: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25</v>
      </c>
      <c r="O5" s="6">
        <f>=SUM(O2:O4)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9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987</v>
      </c>
      <c r="B2" s="4">
        <v>4</v>
      </c>
      <c r="C2" s="4" t="s">
        <v>16</v>
      </c>
      <c r="D2" s="4"/>
      <c r="E2" s="4" t="s">
        <v>988</v>
      </c>
      <c r="F2" s="4"/>
      <c r="G2" s="4" t="s">
        <v>989</v>
      </c>
      <c r="H2" s="4"/>
      <c r="I2" s="4">
        <v>45.75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 t="s">
        <v>990</v>
      </c>
      <c r="B3" s="4">
        <v>1</v>
      </c>
      <c r="C3" s="4" t="s">
        <v>16</v>
      </c>
      <c r="D3" s="4"/>
      <c r="E3" s="4" t="s">
        <v>991</v>
      </c>
      <c r="F3" s="4"/>
      <c r="G3" s="4" t="s">
        <v>992</v>
      </c>
      <c r="H3" s="4"/>
      <c r="I3" s="4">
        <v>21.75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993</v>
      </c>
      <c r="B4" s="4">
        <v>6</v>
      </c>
      <c r="C4" s="4" t="s">
        <v>16</v>
      </c>
      <c r="D4" s="4"/>
      <c r="E4" s="4" t="s">
        <v>994</v>
      </c>
      <c r="F4" s="4"/>
      <c r="G4" s="4" t="s">
        <v>992</v>
      </c>
      <c r="H4" s="4"/>
      <c r="I4" s="4">
        <v>17.98</v>
      </c>
      <c r="J4" s="4"/>
      <c r="K4" s="4"/>
      <c r="L4" s="4"/>
      <c r="M4" s="4" t="s">
        <v>18</v>
      </c>
      <c r="N4" s="4"/>
      <c r="O4" s="3">
        <f>=B4*I4</f>
      </c>
    </row>
    <row r="5" spans="1:15" x14ac:dyDescent="0.25">
      <c r="A5" s="2" t="s">
        <v>995</v>
      </c>
      <c r="B5" s="4">
        <v>1</v>
      </c>
      <c r="C5" s="4" t="s">
        <v>16</v>
      </c>
      <c r="D5" s="4"/>
      <c r="E5" s="4" t="s">
        <v>996</v>
      </c>
      <c r="F5" s="4"/>
      <c r="G5" s="4" t="s">
        <v>992</v>
      </c>
      <c r="H5" s="4"/>
      <c r="I5" s="4">
        <v>14.39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 t="s">
        <v>997</v>
      </c>
      <c r="B6" s="4">
        <v>6</v>
      </c>
      <c r="C6" s="4" t="s">
        <v>16</v>
      </c>
      <c r="D6" s="4"/>
      <c r="E6" s="4"/>
      <c r="F6" s="4"/>
      <c r="G6" s="4" t="s">
        <v>998</v>
      </c>
      <c r="H6" s="4"/>
      <c r="I6" s="4">
        <v>6.37</v>
      </c>
      <c r="J6" s="4"/>
      <c r="K6" s="4"/>
      <c r="L6" s="4"/>
      <c r="M6" s="4" t="s">
        <v>18</v>
      </c>
      <c r="N6" s="4"/>
      <c r="O6" s="3">
        <f>=B6*I6</f>
      </c>
    </row>
    <row r="7" spans="1:15" x14ac:dyDescent="0.25">
      <c r="A7" s="2" t="s">
        <v>999</v>
      </c>
      <c r="B7" s="4">
        <v>0</v>
      </c>
      <c r="C7" s="4" t="s">
        <v>16</v>
      </c>
      <c r="D7" s="4"/>
      <c r="E7" s="4"/>
      <c r="F7" s="4"/>
      <c r="G7" s="4" t="s">
        <v>1000</v>
      </c>
      <c r="H7" s="4"/>
      <c r="I7" s="4">
        <v>0</v>
      </c>
      <c r="J7" s="4"/>
      <c r="K7" s="4"/>
      <c r="L7" s="4"/>
      <c r="M7" s="4" t="s">
        <v>18</v>
      </c>
      <c r="N7" s="4"/>
      <c r="O7" s="3">
        <f>=B7*I7</f>
      </c>
    </row>
    <row r="8" spans="1:15" x14ac:dyDescent="0.25">
      <c r="A8" s="2" t="s">
        <v>1001</v>
      </c>
      <c r="B8" s="4">
        <v>2</v>
      </c>
      <c r="C8" s="4" t="s">
        <v>16</v>
      </c>
      <c r="D8" s="4"/>
      <c r="E8" s="4"/>
      <c r="F8" s="4"/>
      <c r="G8" s="4" t="s">
        <v>1002</v>
      </c>
      <c r="H8" s="4"/>
      <c r="I8" s="4">
        <v>5.61</v>
      </c>
      <c r="J8" s="4"/>
      <c r="K8" s="4"/>
      <c r="L8" s="4"/>
      <c r="M8" s="4" t="s">
        <v>18</v>
      </c>
      <c r="N8" s="4"/>
      <c r="O8" s="3">
        <f>=B8*I8</f>
      </c>
    </row>
    <row r="9" spans="1:15" x14ac:dyDescent="0.25">
      <c r="A9" s="2" t="s">
        <v>1003</v>
      </c>
      <c r="B9" s="4">
        <v>1</v>
      </c>
      <c r="C9" s="4" t="s">
        <v>16</v>
      </c>
      <c r="D9" s="4"/>
      <c r="E9" s="4"/>
      <c r="F9" s="4"/>
      <c r="G9" s="4" t="s">
        <v>1004</v>
      </c>
      <c r="H9" s="4"/>
      <c r="I9" s="4">
        <v>2.49</v>
      </c>
      <c r="J9" s="4"/>
      <c r="K9" s="4"/>
      <c r="L9" s="4"/>
      <c r="M9" s="4" t="s">
        <v>18</v>
      </c>
      <c r="N9" s="4"/>
      <c r="O9" s="3">
        <f>=B9*I9</f>
      </c>
    </row>
    <row r="10" spans="1:15" x14ac:dyDescent="0.25">
      <c r="A10" s="2" t="s">
        <v>1005</v>
      </c>
      <c r="B10" s="4">
        <v>13</v>
      </c>
      <c r="C10" s="4" t="s">
        <v>16</v>
      </c>
      <c r="D10" s="4"/>
      <c r="E10" s="4"/>
      <c r="F10" s="4"/>
      <c r="G10" s="4" t="s">
        <v>1006</v>
      </c>
      <c r="H10" s="4"/>
      <c r="I10" s="4">
        <v>5.25</v>
      </c>
      <c r="J10" s="4"/>
      <c r="K10" s="4"/>
      <c r="L10" s="4"/>
      <c r="M10" s="4" t="s">
        <v>18</v>
      </c>
      <c r="N10" s="4"/>
      <c r="O10" s="3">
        <f>=B10*I10</f>
      </c>
    </row>
    <row r="11" spans="1:15" x14ac:dyDescent="0.25">
      <c r="A11" s="2" t="s">
        <v>1007</v>
      </c>
      <c r="B11" s="4">
        <v>2</v>
      </c>
      <c r="C11" s="4" t="s">
        <v>16</v>
      </c>
      <c r="D11" s="4"/>
      <c r="E11" s="4"/>
      <c r="F11" s="4"/>
      <c r="G11" s="4" t="s">
        <v>1008</v>
      </c>
      <c r="H11" s="4"/>
      <c r="I11" s="4">
        <v>5.77</v>
      </c>
      <c r="J11" s="4"/>
      <c r="K11" s="4"/>
      <c r="L11" s="4"/>
      <c r="M11" s="4" t="s">
        <v>18</v>
      </c>
      <c r="N11" s="4"/>
      <c r="O11" s="3">
        <f>=B11*I11</f>
      </c>
    </row>
    <row r="12" spans="1:15" x14ac:dyDescent="0.25">
      <c r="A12" s="2" t="s">
        <v>1009</v>
      </c>
      <c r="B12" s="4">
        <v>0</v>
      </c>
      <c r="C12" s="4" t="s">
        <v>16</v>
      </c>
      <c r="D12" s="4"/>
      <c r="E12" s="4" t="s">
        <v>102</v>
      </c>
      <c r="F12" s="4"/>
      <c r="G12" s="4" t="s">
        <v>1010</v>
      </c>
      <c r="H12" s="4"/>
      <c r="I12" s="4">
        <v>3.53</v>
      </c>
      <c r="J12" s="4"/>
      <c r="K12" s="4"/>
      <c r="L12" s="4"/>
      <c r="M12" s="4" t="s">
        <v>18</v>
      </c>
      <c r="N12" s="4"/>
      <c r="O12" s="3">
        <f>=B12*I12</f>
      </c>
    </row>
    <row r="13" spans="1:15" x14ac:dyDescent="0.2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 t="s">
        <v>25</v>
      </c>
      <c r="O13" s="6">
        <f>=SUM(O2:O12)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42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1011</v>
      </c>
      <c r="B2" s="4">
        <v>4.5</v>
      </c>
      <c r="C2" s="4" t="s">
        <v>745</v>
      </c>
      <c r="D2" s="4"/>
      <c r="E2" s="4" t="s">
        <v>1012</v>
      </c>
      <c r="F2" s="4"/>
      <c r="G2" s="4" t="s">
        <v>1013</v>
      </c>
      <c r="H2" s="4"/>
      <c r="I2" s="4"/>
      <c r="J2" s="4"/>
      <c r="K2" s="4"/>
      <c r="L2" s="4"/>
      <c r="M2" s="4" t="s">
        <v>747</v>
      </c>
      <c r="N2" s="4"/>
      <c r="O2" s="3">
        <f>=B2*H2</f>
      </c>
    </row>
    <row r="3" spans="1:15" x14ac:dyDescent="0.25">
      <c r="A3" s="2" t="s">
        <v>1014</v>
      </c>
      <c r="B3" s="4"/>
      <c r="C3" s="4" t="s">
        <v>745</v>
      </c>
      <c r="D3" s="4"/>
      <c r="E3" s="4"/>
      <c r="F3" s="4"/>
      <c r="G3" s="4" t="s">
        <v>1013</v>
      </c>
      <c r="H3" s="4"/>
      <c r="I3" s="4"/>
      <c r="J3" s="4"/>
      <c r="K3" s="4"/>
      <c r="L3" s="4"/>
      <c r="M3" s="4" t="s">
        <v>747</v>
      </c>
      <c r="N3" s="4"/>
      <c r="O3" s="3">
        <f>=B3*H3</f>
      </c>
    </row>
    <row r="4" spans="1:15" x14ac:dyDescent="0.25">
      <c r="A4" s="2" t="s">
        <v>1015</v>
      </c>
      <c r="B4" s="4">
        <v>0</v>
      </c>
      <c r="C4" s="4" t="s">
        <v>745</v>
      </c>
      <c r="D4" s="4"/>
      <c r="E4" s="4"/>
      <c r="F4" s="4"/>
      <c r="G4" s="4" t="s">
        <v>1016</v>
      </c>
      <c r="H4" s="4">
        <v>14.17</v>
      </c>
      <c r="I4" s="4"/>
      <c r="J4" s="4"/>
      <c r="K4" s="4"/>
      <c r="L4" s="4"/>
      <c r="M4" s="4" t="s">
        <v>747</v>
      </c>
      <c r="N4" s="4"/>
      <c r="O4" s="3">
        <f>=B4*H4</f>
      </c>
    </row>
    <row r="5" spans="1:15" x14ac:dyDescent="0.25">
      <c r="A5" s="2" t="s">
        <v>1017</v>
      </c>
      <c r="B5" s="4">
        <v>0</v>
      </c>
      <c r="C5" s="4" t="s">
        <v>745</v>
      </c>
      <c r="D5" s="4"/>
      <c r="E5" s="4"/>
      <c r="F5" s="4"/>
      <c r="G5" s="4" t="s">
        <v>1016</v>
      </c>
      <c r="H5" s="4">
        <v>14.17</v>
      </c>
      <c r="I5" s="4"/>
      <c r="J5" s="4"/>
      <c r="K5" s="4"/>
      <c r="L5" s="4"/>
      <c r="M5" s="4" t="s">
        <v>747</v>
      </c>
      <c r="N5" s="4"/>
      <c r="O5" s="3">
        <f>=B5*H5</f>
      </c>
    </row>
    <row r="6" spans="1:15" x14ac:dyDescent="0.25">
      <c r="A6" s="2" t="s">
        <v>1018</v>
      </c>
      <c r="B6" s="4">
        <v>2</v>
      </c>
      <c r="C6" s="4" t="s">
        <v>745</v>
      </c>
      <c r="D6" s="4"/>
      <c r="E6" s="4" t="s">
        <v>1012</v>
      </c>
      <c r="F6" s="4"/>
      <c r="G6" s="4" t="s">
        <v>1019</v>
      </c>
      <c r="H6" s="4">
        <v>4.66</v>
      </c>
      <c r="I6" s="4"/>
      <c r="J6" s="4"/>
      <c r="K6" s="4"/>
      <c r="L6" s="4"/>
      <c r="M6" s="4" t="s">
        <v>747</v>
      </c>
      <c r="N6" s="4"/>
      <c r="O6" s="3">
        <f>=B6*H6</f>
      </c>
    </row>
    <row r="7" spans="1:15" x14ac:dyDescent="0.25">
      <c r="A7" s="2" t="s">
        <v>1020</v>
      </c>
      <c r="B7" s="4">
        <v>30</v>
      </c>
      <c r="C7" s="4" t="s">
        <v>745</v>
      </c>
      <c r="D7" s="4"/>
      <c r="E7" s="4" t="s">
        <v>1012</v>
      </c>
      <c r="F7" s="4"/>
      <c r="G7" s="4" t="s">
        <v>1019</v>
      </c>
      <c r="H7" s="4">
        <v>4.66</v>
      </c>
      <c r="I7" s="4"/>
      <c r="J7" s="4"/>
      <c r="K7" s="4"/>
      <c r="L7" s="4"/>
      <c r="M7" s="4" t="s">
        <v>747</v>
      </c>
      <c r="N7" s="4"/>
      <c r="O7" s="3">
        <f>=B7*H7</f>
      </c>
    </row>
    <row r="8" spans="1:15" x14ac:dyDescent="0.25">
      <c r="A8" s="2" t="s">
        <v>1021</v>
      </c>
      <c r="B8" s="4">
        <v>0</v>
      </c>
      <c r="C8" s="4" t="s">
        <v>745</v>
      </c>
      <c r="D8" s="4"/>
      <c r="E8" s="4"/>
      <c r="F8" s="4"/>
      <c r="G8" s="4" t="s">
        <v>1019</v>
      </c>
      <c r="H8" s="4">
        <v>4.66</v>
      </c>
      <c r="I8" s="4"/>
      <c r="J8" s="4"/>
      <c r="K8" s="4"/>
      <c r="L8" s="4"/>
      <c r="M8" s="4" t="s">
        <v>747</v>
      </c>
      <c r="N8" s="4"/>
      <c r="O8" s="3">
        <f>=B8*H8</f>
      </c>
    </row>
    <row r="9" spans="1:15" x14ac:dyDescent="0.25">
      <c r="A9" s="2" t="s">
        <v>1022</v>
      </c>
      <c r="B9" s="4">
        <v>0</v>
      </c>
      <c r="C9" s="4" t="s">
        <v>745</v>
      </c>
      <c r="D9" s="4"/>
      <c r="E9" s="4"/>
      <c r="F9" s="4"/>
      <c r="G9" s="4" t="s">
        <v>1019</v>
      </c>
      <c r="H9" s="4">
        <v>4.66</v>
      </c>
      <c r="I9" s="4"/>
      <c r="J9" s="4"/>
      <c r="K9" s="4"/>
      <c r="L9" s="4"/>
      <c r="M9" s="4" t="s">
        <v>747</v>
      </c>
      <c r="N9" s="4"/>
      <c r="O9" s="3">
        <f>=B9*H9</f>
      </c>
    </row>
    <row r="10" spans="1:15" x14ac:dyDescent="0.25">
      <c r="A10" s="2" t="s">
        <v>1023</v>
      </c>
      <c r="B10" s="4">
        <v>0</v>
      </c>
      <c r="C10" s="4" t="s">
        <v>745</v>
      </c>
      <c r="D10" s="4"/>
      <c r="E10" s="4"/>
      <c r="F10" s="4"/>
      <c r="G10" s="4" t="s">
        <v>1019</v>
      </c>
      <c r="H10" s="4">
        <v>4.66</v>
      </c>
      <c r="I10" s="4"/>
      <c r="J10" s="4"/>
      <c r="K10" s="4"/>
      <c r="L10" s="4"/>
      <c r="M10" s="4" t="s">
        <v>747</v>
      </c>
      <c r="N10" s="4"/>
      <c r="O10" s="3">
        <f>=B10*H10</f>
      </c>
    </row>
    <row r="11" spans="1:15" x14ac:dyDescent="0.25">
      <c r="A11" s="2" t="s">
        <v>1024</v>
      </c>
      <c r="B11" s="4">
        <v>10</v>
      </c>
      <c r="C11" s="4" t="s">
        <v>745</v>
      </c>
      <c r="D11" s="4"/>
      <c r="E11" s="4" t="s">
        <v>928</v>
      </c>
      <c r="F11" s="4"/>
      <c r="G11" s="4" t="s">
        <v>1025</v>
      </c>
      <c r="H11" s="4">
        <v>5.45</v>
      </c>
      <c r="I11" s="4"/>
      <c r="J11" s="4"/>
      <c r="K11" s="4"/>
      <c r="L11" s="4"/>
      <c r="M11" s="4" t="s">
        <v>747</v>
      </c>
      <c r="N11" s="4"/>
      <c r="O11" s="3">
        <f>=B11*H11</f>
      </c>
    </row>
    <row r="12" spans="1:15" x14ac:dyDescent="0.25">
      <c r="A12" s="2" t="s">
        <v>1026</v>
      </c>
      <c r="B12" s="4">
        <v>2.24</v>
      </c>
      <c r="C12" s="4" t="s">
        <v>745</v>
      </c>
      <c r="D12" s="4"/>
      <c r="E12" s="4" t="s">
        <v>928</v>
      </c>
      <c r="F12" s="4"/>
      <c r="G12" s="4" t="s">
        <v>1025</v>
      </c>
      <c r="H12" s="4">
        <v>5.45</v>
      </c>
      <c r="I12" s="4"/>
      <c r="J12" s="4"/>
      <c r="K12" s="4"/>
      <c r="L12" s="4"/>
      <c r="M12" s="4" t="s">
        <v>747</v>
      </c>
      <c r="N12" s="4"/>
      <c r="O12" s="3">
        <f>=B12*H12</f>
      </c>
    </row>
    <row r="13" spans="1:15" x14ac:dyDescent="0.25">
      <c r="A13" s="2" t="s">
        <v>1027</v>
      </c>
      <c r="B13" s="4">
        <v>0</v>
      </c>
      <c r="C13" s="4" t="s">
        <v>745</v>
      </c>
      <c r="D13" s="4"/>
      <c r="E13" s="4"/>
      <c r="F13" s="4"/>
      <c r="G13" s="4" t="s">
        <v>1025</v>
      </c>
      <c r="H13" s="4">
        <v>5.45</v>
      </c>
      <c r="I13" s="4"/>
      <c r="J13" s="4"/>
      <c r="K13" s="4"/>
      <c r="L13" s="4"/>
      <c r="M13" s="4" t="s">
        <v>747</v>
      </c>
      <c r="N13" s="4"/>
      <c r="O13" s="3">
        <f>=B13*H13</f>
      </c>
    </row>
    <row r="14" spans="1:15" x14ac:dyDescent="0.25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 t="s">
        <v>25</v>
      </c>
      <c r="O14" s="6">
        <f>=SUM(O2:O13)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1028</v>
      </c>
      <c r="B2" s="4">
        <v>370</v>
      </c>
      <c r="C2" s="4" t="s">
        <v>16</v>
      </c>
      <c r="D2" s="4"/>
      <c r="E2" s="4" t="s">
        <v>1029</v>
      </c>
      <c r="F2" s="4"/>
      <c r="G2" s="4" t="s">
        <v>1030</v>
      </c>
      <c r="H2" s="4"/>
      <c r="I2" s="4">
        <v>0.82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 t="s">
        <v>1031</v>
      </c>
      <c r="B3" s="4">
        <v>234</v>
      </c>
      <c r="C3" s="4" t="s">
        <v>16</v>
      </c>
      <c r="D3" s="4"/>
      <c r="E3" s="4" t="s">
        <v>1032</v>
      </c>
      <c r="F3" s="4"/>
      <c r="G3" s="4" t="s">
        <v>1033</v>
      </c>
      <c r="H3" s="4"/>
      <c r="I3" s="4">
        <v>0.82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1034</v>
      </c>
      <c r="B4" s="4">
        <v>332</v>
      </c>
      <c r="C4" s="4" t="s">
        <v>16</v>
      </c>
      <c r="D4" s="4"/>
      <c r="E4" s="4" t="s">
        <v>1032</v>
      </c>
      <c r="F4" s="4"/>
      <c r="G4" s="4" t="s">
        <v>1033</v>
      </c>
      <c r="H4" s="4"/>
      <c r="I4" s="4">
        <v>0.82</v>
      </c>
      <c r="J4" s="4"/>
      <c r="K4" s="4"/>
      <c r="L4" s="4"/>
      <c r="M4" s="4" t="s">
        <v>18</v>
      </c>
      <c r="N4" s="4"/>
      <c r="O4" s="3">
        <f>=B4*I4</f>
      </c>
    </row>
    <row r="5" spans="1:15" x14ac:dyDescent="0.25">
      <c r="A5" s="2" t="s">
        <v>1035</v>
      </c>
      <c r="B5" s="4">
        <v>0</v>
      </c>
      <c r="C5" s="4" t="s">
        <v>16</v>
      </c>
      <c r="D5" s="4"/>
      <c r="E5" s="4"/>
      <c r="F5" s="4"/>
      <c r="G5" s="4" t="s">
        <v>1036</v>
      </c>
      <c r="H5" s="4"/>
      <c r="I5" s="4">
        <v>0.82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3" width="29" style="1" customWidth="1"/>
  </cols>
  <sheetData>
    <row r="1" spans="1:3" s="7" customFormat="1" x14ac:dyDescent="0.25">
      <c r="A1" s="8" t="s">
        <v>1037</v>
      </c>
      <c r="B1" s="8" t="s">
        <v>1038</v>
      </c>
      <c r="C1" s="9" t="s">
        <v>25</v>
      </c>
    </row>
    <row r="2" spans="1:3" x14ac:dyDescent="0.25">
      <c r="A2" s="10" t="s">
        <v>1039</v>
      </c>
      <c r="B2" s="10" t="s">
        <v>1040</v>
      </c>
      <c r="C2" s="11">
        <f>='borden_afstandshouder'!O6</f>
      </c>
    </row>
    <row r="3" spans="1:3" x14ac:dyDescent="0.25">
      <c r="A3" s="10" t="s">
        <v>1039</v>
      </c>
      <c r="B3" s="10" t="s">
        <v>1041</v>
      </c>
      <c r="C3" s="11">
        <f>='borden_hout'!O6</f>
      </c>
    </row>
    <row r="4" spans="1:3" x14ac:dyDescent="0.25">
      <c r="A4" s="10" t="s">
        <v>1039</v>
      </c>
      <c r="B4" s="10" t="s">
        <v>1042</v>
      </c>
      <c r="C4" s="11">
        <f>='borden_plexi_opaal'!O3</f>
      </c>
    </row>
    <row r="5" spans="1:3" x14ac:dyDescent="0.25">
      <c r="A5" s="10" t="s">
        <v>1039</v>
      </c>
      <c r="B5" s="10" t="s">
        <v>1043</v>
      </c>
      <c r="C5" s="11">
        <f>='borden_forex_zwart'!O51</f>
      </c>
    </row>
    <row r="6" spans="1:3" x14ac:dyDescent="0.25">
      <c r="A6" s="10" t="s">
        <v>1039</v>
      </c>
      <c r="B6" s="10" t="s">
        <v>1044</v>
      </c>
      <c r="C6" s="11">
        <f>='borden_forex_wit'!O63</f>
      </c>
    </row>
    <row r="7" spans="1:3" x14ac:dyDescent="0.25">
      <c r="A7" s="10" t="s">
        <v>1039</v>
      </c>
      <c r="B7" s="10" t="s">
        <v>1045</v>
      </c>
      <c r="C7" s="11">
        <f>='borden_zwart'!O75</f>
      </c>
    </row>
    <row r="8" spans="1:3" x14ac:dyDescent="0.25">
      <c r="A8" s="10" t="s">
        <v>1039</v>
      </c>
      <c r="B8" s="10" t="s">
        <v>1046</v>
      </c>
      <c r="C8" s="11">
        <f>='borden_wit'!O153</f>
      </c>
    </row>
    <row r="9" spans="1:3" x14ac:dyDescent="0.25">
      <c r="A9" s="10" t="s">
        <v>1039</v>
      </c>
      <c r="B9" s="10" t="s">
        <v>1047</v>
      </c>
      <c r="C9" s="11">
        <f>='borden_kanaalplaten'!O13</f>
      </c>
    </row>
    <row r="10" spans="1:3" x14ac:dyDescent="0.25">
      <c r="A10" s="10" t="s">
        <v>1039</v>
      </c>
      <c r="B10" s="10" t="s">
        <v>1048</v>
      </c>
      <c r="C10" s="11">
        <f>='borden_brushed_steel'!O5</f>
      </c>
    </row>
    <row r="11" spans="1:3" x14ac:dyDescent="0.25">
      <c r="A11" s="10" t="s">
        <v>1039</v>
      </c>
      <c r="B11" s="10" t="s">
        <v>1049</v>
      </c>
      <c r="C11" s="11">
        <f>='borden_plexiglas'!O8</f>
      </c>
    </row>
    <row r="12" spans="1:3" x14ac:dyDescent="0.25">
      <c r="A12" s="10" t="s">
        <v>1050</v>
      </c>
      <c r="B12" s="10" t="s">
        <v>1051</v>
      </c>
      <c r="C12" s="11">
        <f>='stock_rollup'!O3</f>
      </c>
    </row>
    <row r="13" spans="1:3" x14ac:dyDescent="0.25">
      <c r="A13" s="10" t="s">
        <v>1050</v>
      </c>
      <c r="B13" s="10" t="s">
        <v>1052</v>
      </c>
      <c r="C13" s="11">
        <f>='stock_snijfolie'!O28</f>
      </c>
    </row>
    <row r="14" spans="1:3" x14ac:dyDescent="0.25">
      <c r="A14" s="10" t="s">
        <v>1050</v>
      </c>
      <c r="B14" s="10" t="s">
        <v>1053</v>
      </c>
      <c r="C14" s="11">
        <f>='stock_interieurfolie'!O7</f>
      </c>
    </row>
    <row r="15" spans="1:3" x14ac:dyDescent="0.25">
      <c r="A15" s="10" t="s">
        <v>1050</v>
      </c>
      <c r="B15" s="10" t="s">
        <v>1054</v>
      </c>
      <c r="C15" s="11">
        <f>='stock_flex'!O23</f>
      </c>
    </row>
    <row r="16" spans="1:3" x14ac:dyDescent="0.25">
      <c r="A16" s="10" t="s">
        <v>1050</v>
      </c>
      <c r="B16" s="10" t="s">
        <v>1055</v>
      </c>
      <c r="C16" s="11">
        <f>='stock_printfolie'!O36</f>
      </c>
    </row>
    <row r="17" spans="1:3" x14ac:dyDescent="0.25">
      <c r="A17" s="10" t="s">
        <v>1050</v>
      </c>
      <c r="B17" s="10" t="s">
        <v>1056</v>
      </c>
      <c r="C17" s="11">
        <f>='stock_swf'!O39</f>
      </c>
    </row>
    <row r="18" spans="1:3" x14ac:dyDescent="0.25">
      <c r="A18" s="10" t="s">
        <v>1050</v>
      </c>
      <c r="B18" s="10" t="s">
        <v>1057</v>
      </c>
      <c r="C18" s="11">
        <f>='stock_allerlei'!O9</f>
      </c>
    </row>
    <row r="19" spans="1:3" x14ac:dyDescent="0.25">
      <c r="A19" s="10" t="s">
        <v>1050</v>
      </c>
      <c r="B19" s="10" t="s">
        <v>1058</v>
      </c>
      <c r="C19" s="11">
        <f>='stock_magneetfolie'!O5</f>
      </c>
    </row>
    <row r="20" spans="1:3" x14ac:dyDescent="0.25">
      <c r="A20" s="10" t="s">
        <v>1050</v>
      </c>
      <c r="B20" s="10" t="s">
        <v>1059</v>
      </c>
      <c r="C20" s="11">
        <f>='stock_buizen'!O13</f>
      </c>
    </row>
    <row r="21" spans="1:3" x14ac:dyDescent="0.25">
      <c r="A21" s="10" t="s">
        <v>1050</v>
      </c>
      <c r="B21" s="10" t="s">
        <v>1060</v>
      </c>
      <c r="C21" s="11">
        <f>='stock_zandstraal'!O14</f>
      </c>
    </row>
    <row r="22" spans="1:3" x14ac:dyDescent="0.25">
      <c r="A22" s="10" t="s">
        <v>1050</v>
      </c>
      <c r="B22" s="10" t="s">
        <v>1061</v>
      </c>
      <c r="C22" s="11">
        <f>='stock_rekkers'!O6</f>
      </c>
    </row>
    <row r="23" spans="1:3" s="12" customFormat="1" x14ac:dyDescent="0.25">
      <c r="A23" s="13" t="s">
        <v>1062</v>
      </c>
      <c r="B23" s="13" t="s">
        <v>102</v>
      </c>
      <c r="C23" s="14">
        <f>=SUM(C2:C22)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borden_afstandshouder</vt:lpstr>
      <vt:lpstr>borden_hout</vt:lpstr>
      <vt:lpstr>borden_plexi_opaal</vt:lpstr>
      <vt:lpstr>borden_forex_zwart</vt:lpstr>
      <vt:lpstr>borden_forex_wit</vt:lpstr>
      <vt:lpstr>borden_zwart</vt:lpstr>
      <vt:lpstr>borden_wit</vt:lpstr>
      <vt:lpstr>borden_kanaalplaten</vt:lpstr>
      <vt:lpstr>borden_brushed_steel</vt:lpstr>
      <vt:lpstr>borden_plexiglas</vt:lpstr>
      <vt:lpstr>stock_rollup</vt:lpstr>
      <vt:lpstr>stock_snijfolie</vt:lpstr>
      <vt:lpstr>stock_interieurfolie</vt:lpstr>
      <vt:lpstr>stock_flex</vt:lpstr>
      <vt:lpstr>stock_printfolie</vt:lpstr>
      <vt:lpstr>stock_swf</vt:lpstr>
      <vt:lpstr>stock_allerlei</vt:lpstr>
      <vt:lpstr>stock_magneetfolie</vt:lpstr>
      <vt:lpstr>stock_buizen</vt:lpstr>
      <vt:lpstr>stock_zandstraal</vt:lpstr>
      <vt:lpstr>stock_rekkers</vt:lpstr>
      <vt:lpstr>TOTALS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2025-11-03T10:24:47Z</dcterms:created>
  <dcterms:modified xsi:type="dcterms:W3CDTF">2025-11-03T10:24:47Z</dcterms:modified>
</cp:coreProperties>
</file>